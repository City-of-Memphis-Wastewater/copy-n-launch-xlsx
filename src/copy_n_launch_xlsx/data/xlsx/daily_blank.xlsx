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ftware\copy_n_launch_xlsx-0.2.4-py312-windows11-x86_64\_internal\copy_n_launch_xlsx\data\xlsx\"/>
    </mc:Choice>
  </mc:AlternateContent>
  <xr:revisionPtr revIDLastSave="0" documentId="13_ncr:1_{6204D076-B3A0-48C3-9AE1-39F2965A9A59}" xr6:coauthVersionLast="47" xr6:coauthVersionMax="47" xr10:uidLastSave="{00000000-0000-0000-0000-000000000000}"/>
  <bookViews>
    <workbookView xWindow="-120" yWindow="-120" windowWidth="20730" windowHeight="11040" tabRatio="755" activeTab="7" xr2:uid="{00000000-000D-0000-FFFF-FFFF00000000}"/>
  </bookViews>
  <sheets>
    <sheet name="Hourly" sheetId="3" r:id="rId1"/>
    <sheet name="Clarifier" sheetId="2" r:id="rId2"/>
    <sheet name="Outfall" sheetId="6" r:id="rId3"/>
    <sheet name="PAA and pH" sheetId="7" r:id="rId4"/>
    <sheet name="Lagoon" sheetId="10" r:id="rId5"/>
    <sheet name="Various" sheetId="1" r:id="rId6"/>
    <sheet name="Basin DO" sheetId="14" r:id="rId7"/>
    <sheet name="Print" sheetId="13" r:id="rId8"/>
    <sheet name="Hourly Data" sheetId="4" state="hidden" r:id="rId9"/>
    <sheet name="Data" sheetId="5" state="hidden" r:id="rId10"/>
    <sheet name="How" sheetId="11" r:id="rId11"/>
  </sheets>
  <definedNames>
    <definedName name="abf_tower_temperature">Various!$R$17</definedName>
    <definedName name="aeration_basin_do_north_avg_handheld">'Basin DO'!$J$4</definedName>
    <definedName name="aeration_basin_do_north_avg_probes">'Basin DO'!$J$5</definedName>
    <definedName name="aeration_basin_do_south_avg_handheld">'Basin DO'!$J$9</definedName>
    <definedName name="aeration_basin_do_south_avg_probes">'Basin DO'!$J$10</definedName>
    <definedName name="aeration_basin_tempature">Various!$R$18</definedName>
    <definedName name="basin_flow_total">Clarifier!$F$31</definedName>
    <definedName name="basin_total_flow">Clarifier!$F$31</definedName>
    <definedName name="clarifier_flow_total">Clarifier!$F$33</definedName>
    <definedName name="clarifier_underflow_total">Clarifier!$F$32</definedName>
    <definedName name="date">Print!$C$2</definedName>
    <definedName name="inf_flow_avg">Hourly!$C$27</definedName>
    <definedName name="inf_flow_max">Hourly!$C$28</definedName>
    <definedName name="lagoon_sludge_temp_avg">Lagoon!$K$8</definedName>
    <definedName name="max_pH">Print!$C$13</definedName>
    <definedName name="min_pH">Print!#REF!</definedName>
    <definedName name="paa_daily_avg">'PAA and pH'!$D$8</definedName>
    <definedName name="paa_post_avg">'PAA and pH'!$D$9</definedName>
    <definedName name="ph_daily_avg">'PAA and pH'!$D$18</definedName>
    <definedName name="wasting_average">Hourly!$H$27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E29" i="2"/>
  <c r="F29" i="2"/>
  <c r="G29" i="2"/>
  <c r="H29" i="2"/>
  <c r="I29" i="2"/>
  <c r="K29" i="2"/>
  <c r="L29" i="2"/>
  <c r="M29" i="2"/>
  <c r="N29" i="2"/>
  <c r="O29" i="2"/>
  <c r="P29" i="2"/>
  <c r="Q29" i="2"/>
  <c r="S29" i="2"/>
  <c r="T29" i="2"/>
  <c r="U29" i="2"/>
  <c r="V29" i="2"/>
  <c r="X29" i="2"/>
  <c r="Y29" i="2"/>
  <c r="Z29" i="2"/>
  <c r="AA29" i="2"/>
  <c r="AC29" i="2"/>
  <c r="AD29" i="2"/>
  <c r="AE29" i="2"/>
  <c r="AF29" i="2"/>
  <c r="AH29" i="2"/>
  <c r="AI29" i="2"/>
  <c r="AJ29" i="2"/>
  <c r="AK29" i="2"/>
  <c r="C29" i="2"/>
  <c r="C28" i="2"/>
  <c r="G28" i="2"/>
  <c r="F28" i="2"/>
  <c r="E28" i="2"/>
  <c r="D28" i="2"/>
  <c r="D9" i="7"/>
  <c r="C26" i="13" s="1"/>
  <c r="C25" i="13"/>
  <c r="C32" i="13"/>
  <c r="C31" i="13"/>
  <c r="C28" i="3"/>
  <c r="C13" i="13"/>
  <c r="U27" i="3"/>
  <c r="D27" i="3"/>
  <c r="D28" i="3"/>
  <c r="U28" i="3"/>
  <c r="D29" i="3"/>
  <c r="U29" i="3"/>
  <c r="C22" i="13"/>
  <c r="C21" i="13"/>
  <c r="J10" i="14"/>
  <c r="D6" i="7"/>
  <c r="J9" i="14"/>
  <c r="C30" i="13" s="1"/>
  <c r="J5" i="14"/>
  <c r="J4" i="14"/>
  <c r="C29" i="13" s="1"/>
  <c r="K7" i="10"/>
  <c r="J7" i="10"/>
  <c r="I7" i="10"/>
  <c r="H7" i="10"/>
  <c r="H4" i="1"/>
  <c r="H5" i="1"/>
  <c r="H6" i="1"/>
  <c r="T28" i="2"/>
  <c r="U28" i="2"/>
  <c r="V28" i="2"/>
  <c r="X28" i="2"/>
  <c r="Y28" i="2"/>
  <c r="Z28" i="2"/>
  <c r="AA28" i="2"/>
  <c r="AC28" i="2"/>
  <c r="AD28" i="2"/>
  <c r="AE28" i="2"/>
  <c r="AF28" i="2"/>
  <c r="AH28" i="2"/>
  <c r="AI28" i="2"/>
  <c r="AJ28" i="2"/>
  <c r="AK28" i="2"/>
  <c r="S28" i="2"/>
  <c r="L28" i="2"/>
  <c r="M28" i="2"/>
  <c r="N28" i="2"/>
  <c r="O28" i="2"/>
  <c r="P28" i="2"/>
  <c r="Q28" i="2"/>
  <c r="K28" i="2"/>
  <c r="H28" i="2"/>
  <c r="I28" i="2"/>
  <c r="L6" i="7"/>
  <c r="H6" i="7"/>
  <c r="H16" i="7"/>
  <c r="L16" i="7"/>
  <c r="D16" i="7"/>
  <c r="N15" i="1"/>
  <c r="N16" i="1"/>
  <c r="N17" i="1"/>
  <c r="Q30" i="3"/>
  <c r="C17" i="13" s="1"/>
  <c r="C29" i="3"/>
  <c r="E29" i="3"/>
  <c r="F29" i="3"/>
  <c r="G29" i="3"/>
  <c r="H29" i="3"/>
  <c r="K29" i="3"/>
  <c r="L29" i="3"/>
  <c r="M29" i="3"/>
  <c r="N29" i="3"/>
  <c r="O29" i="3"/>
  <c r="P29" i="3"/>
  <c r="Q29" i="3"/>
  <c r="R29" i="3"/>
  <c r="S29" i="3"/>
  <c r="T29" i="3"/>
  <c r="C6" i="13"/>
  <c r="E28" i="3"/>
  <c r="F28" i="3"/>
  <c r="G28" i="3"/>
  <c r="H28" i="3"/>
  <c r="K28" i="3"/>
  <c r="L28" i="3"/>
  <c r="M28" i="3"/>
  <c r="N28" i="3"/>
  <c r="O28" i="3"/>
  <c r="P28" i="3"/>
  <c r="Q28" i="3"/>
  <c r="C16" i="13" s="1"/>
  <c r="R28" i="3"/>
  <c r="S28" i="3"/>
  <c r="T28" i="3"/>
  <c r="C27" i="3"/>
  <c r="C5" i="13" s="1"/>
  <c r="E27" i="3"/>
  <c r="F27" i="3"/>
  <c r="G27" i="3"/>
  <c r="H27" i="3"/>
  <c r="C10" i="13" s="1"/>
  <c r="L27" i="3"/>
  <c r="M27" i="3"/>
  <c r="N27" i="3"/>
  <c r="O27" i="3"/>
  <c r="P27" i="3"/>
  <c r="Q27" i="3"/>
  <c r="R27" i="3"/>
  <c r="S27" i="3"/>
  <c r="T27" i="3"/>
  <c r="F31" i="2" l="1"/>
  <c r="F33" i="2"/>
  <c r="C8" i="13" s="1"/>
  <c r="F32" i="2"/>
  <c r="C7" i="13"/>
  <c r="D18" i="7"/>
  <c r="C9" i="13"/>
  <c r="K8" i="10"/>
  <c r="C20" i="13" s="1"/>
  <c r="D8" i="7"/>
  <c r="N18" i="1"/>
  <c r="C15" i="4" l="1"/>
  <c r="C16" i="4"/>
  <c r="C17" i="4"/>
  <c r="C18" i="4"/>
  <c r="C19" i="4"/>
  <c r="C20" i="4"/>
  <c r="C21" i="4"/>
  <c r="C22" i="4"/>
  <c r="C23" i="4"/>
  <c r="C24" i="4"/>
  <c r="C25" i="4"/>
  <c r="C153" i="5"/>
  <c r="C154" i="5"/>
  <c r="C155" i="5" l="1"/>
  <c r="C12" i="4"/>
  <c r="C13" i="4"/>
  <c r="C14" i="4"/>
  <c r="C193" i="5" l="1"/>
  <c r="G35" i="5" l="1"/>
  <c r="G32" i="5"/>
  <c r="G29" i="5"/>
  <c r="G26" i="5"/>
  <c r="G23" i="5"/>
  <c r="F23" i="5" s="1"/>
  <c r="G20" i="5"/>
  <c r="F20" i="5" s="1"/>
  <c r="G17" i="5"/>
  <c r="F17" i="5" s="1"/>
  <c r="G13" i="5" l="1"/>
  <c r="G10" i="5"/>
  <c r="G7" i="5"/>
  <c r="G4" i="5"/>
  <c r="C199" i="5" l="1"/>
  <c r="C83" i="5" l="1"/>
  <c r="C84" i="5"/>
  <c r="G36" i="5" l="1"/>
  <c r="G33" i="5"/>
  <c r="G30" i="5"/>
  <c r="G27" i="5"/>
  <c r="G24" i="5"/>
  <c r="G21" i="5"/>
  <c r="G18" i="5"/>
  <c r="G15" i="5"/>
  <c r="C139" i="5" l="1"/>
  <c r="C3" i="4" l="1"/>
  <c r="C4" i="4"/>
  <c r="C5" i="4"/>
  <c r="C6" i="4"/>
  <c r="C7" i="4"/>
  <c r="C8" i="4"/>
  <c r="C9" i="4"/>
  <c r="C10" i="4"/>
  <c r="C11" i="4"/>
  <c r="C2" i="4" l="1"/>
  <c r="C194" i="5" l="1"/>
  <c r="C195" i="5"/>
  <c r="C196" i="5"/>
  <c r="C197" i="5"/>
  <c r="C198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173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C120" i="5"/>
  <c r="F35" i="5"/>
  <c r="F32" i="5"/>
  <c r="F29" i="5"/>
  <c r="F26" i="5"/>
  <c r="G14" i="5"/>
  <c r="F14" i="5" s="1"/>
  <c r="G37" i="5"/>
  <c r="F37" i="5" s="1"/>
  <c r="G34" i="5"/>
  <c r="F34" i="5" s="1"/>
  <c r="G31" i="5"/>
  <c r="F31" i="5" s="1"/>
  <c r="G28" i="5"/>
  <c r="F28" i="5" s="1"/>
  <c r="G25" i="5"/>
  <c r="F25" i="5" s="1"/>
  <c r="G22" i="5"/>
  <c r="F22" i="5" s="1"/>
  <c r="C20" i="5"/>
  <c r="C21" i="5"/>
  <c r="A20" i="5"/>
  <c r="G19" i="5"/>
  <c r="F19" i="5" s="1"/>
  <c r="G16" i="5"/>
  <c r="F16" i="5" s="1"/>
  <c r="F13" i="5"/>
  <c r="C17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" i="4"/>
  <c r="G38" i="5"/>
  <c r="G39" i="5"/>
  <c r="G40" i="5"/>
  <c r="G41" i="5"/>
  <c r="G42" i="5"/>
  <c r="G43" i="5"/>
  <c r="G44" i="5"/>
  <c r="G45" i="5"/>
  <c r="G76" i="5"/>
  <c r="G77" i="5"/>
  <c r="G78" i="5"/>
  <c r="G79" i="5"/>
  <c r="G80" i="5"/>
  <c r="G81" i="5"/>
  <c r="C32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6" i="5"/>
  <c r="C95" i="5"/>
  <c r="C94" i="5"/>
  <c r="C93" i="5"/>
  <c r="C92" i="5"/>
  <c r="C91" i="5"/>
  <c r="C90" i="5"/>
  <c r="C89" i="5"/>
  <c r="C88" i="5"/>
  <c r="C87" i="5"/>
  <c r="C86" i="5"/>
  <c r="C8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82" i="5"/>
  <c r="C37" i="5"/>
  <c r="G192" i="5"/>
  <c r="B192" i="5"/>
  <c r="A192" i="5"/>
  <c r="G191" i="5"/>
  <c r="B191" i="5"/>
  <c r="A191" i="5"/>
  <c r="G190" i="5"/>
  <c r="B190" i="5"/>
  <c r="A190" i="5"/>
  <c r="G189" i="5"/>
  <c r="B189" i="5"/>
  <c r="A189" i="5"/>
  <c r="G188" i="5"/>
  <c r="B188" i="5"/>
  <c r="A188" i="5"/>
  <c r="G187" i="5"/>
  <c r="B187" i="5"/>
  <c r="A187" i="5"/>
  <c r="G186" i="5"/>
  <c r="B186" i="5"/>
  <c r="A186" i="5"/>
  <c r="G185" i="5"/>
  <c r="B185" i="5"/>
  <c r="A185" i="5"/>
  <c r="G184" i="5"/>
  <c r="B184" i="5"/>
  <c r="A184" i="5"/>
  <c r="G183" i="5"/>
  <c r="B183" i="5"/>
  <c r="A183" i="5"/>
  <c r="G182" i="5"/>
  <c r="B182" i="5"/>
  <c r="A182" i="5"/>
  <c r="G181" i="5"/>
  <c r="B181" i="5"/>
  <c r="A181" i="5"/>
  <c r="G180" i="5"/>
  <c r="B180" i="5"/>
  <c r="A180" i="5"/>
  <c r="G179" i="5"/>
  <c r="B179" i="5"/>
  <c r="A179" i="5"/>
  <c r="G178" i="5"/>
  <c r="B178" i="5"/>
  <c r="A178" i="5"/>
  <c r="G177" i="5"/>
  <c r="C177" i="5"/>
  <c r="A177" i="5"/>
  <c r="G176" i="5"/>
  <c r="C176" i="5"/>
  <c r="A176" i="5"/>
  <c r="G175" i="5"/>
  <c r="C175" i="5"/>
  <c r="A175" i="5"/>
  <c r="G174" i="5"/>
  <c r="C174" i="5"/>
  <c r="A174" i="5"/>
  <c r="G173" i="5"/>
  <c r="A173" i="5"/>
  <c r="G172" i="5"/>
  <c r="C172" i="5"/>
  <c r="A172" i="5"/>
  <c r="G171" i="5"/>
  <c r="C171" i="5"/>
  <c r="A171" i="5"/>
  <c r="G170" i="5"/>
  <c r="C170" i="5"/>
  <c r="A170" i="5"/>
  <c r="G169" i="5"/>
  <c r="C169" i="5"/>
  <c r="A169" i="5"/>
  <c r="G168" i="5"/>
  <c r="C168" i="5"/>
  <c r="A168" i="5"/>
  <c r="G167" i="5"/>
  <c r="C167" i="5"/>
  <c r="A167" i="5"/>
  <c r="G166" i="5"/>
  <c r="C166" i="5"/>
  <c r="A166" i="5"/>
  <c r="G165" i="5"/>
  <c r="C165" i="5"/>
  <c r="A165" i="5"/>
  <c r="G164" i="5"/>
  <c r="C164" i="5"/>
  <c r="A164" i="5"/>
  <c r="G163" i="5"/>
  <c r="C163" i="5"/>
  <c r="A163" i="5"/>
  <c r="G162" i="5"/>
  <c r="C162" i="5"/>
  <c r="A162" i="5"/>
  <c r="G161" i="5"/>
  <c r="C161" i="5"/>
  <c r="A161" i="5"/>
  <c r="G160" i="5"/>
  <c r="C160" i="5"/>
  <c r="A160" i="5"/>
  <c r="G159" i="5"/>
  <c r="C159" i="5"/>
  <c r="A159" i="5"/>
  <c r="G158" i="5"/>
  <c r="C158" i="5"/>
  <c r="A158" i="5"/>
  <c r="G157" i="5"/>
  <c r="C157" i="5"/>
  <c r="A157" i="5"/>
  <c r="G156" i="5"/>
  <c r="C156" i="5"/>
  <c r="A156" i="5"/>
  <c r="G155" i="5"/>
  <c r="A155" i="5"/>
  <c r="G154" i="5"/>
  <c r="A154" i="5"/>
  <c r="G153" i="5"/>
  <c r="A153" i="5"/>
  <c r="G152" i="5"/>
  <c r="C152" i="5"/>
  <c r="A152" i="5"/>
  <c r="G151" i="5"/>
  <c r="C151" i="5"/>
  <c r="A151" i="5"/>
  <c r="G150" i="5"/>
  <c r="C150" i="5"/>
  <c r="A150" i="5"/>
  <c r="G149" i="5"/>
  <c r="C149" i="5"/>
  <c r="A149" i="5"/>
  <c r="G148" i="5"/>
  <c r="C148" i="5"/>
  <c r="A148" i="5"/>
  <c r="G147" i="5"/>
  <c r="C147" i="5"/>
  <c r="A147" i="5"/>
  <c r="G146" i="5"/>
  <c r="C146" i="5"/>
  <c r="A146" i="5"/>
  <c r="G145" i="5"/>
  <c r="C145" i="5"/>
  <c r="A145" i="5"/>
  <c r="G144" i="5"/>
  <c r="C144" i="5"/>
  <c r="A144" i="5"/>
  <c r="G143" i="5"/>
  <c r="C143" i="5"/>
  <c r="A143" i="5"/>
  <c r="G142" i="5"/>
  <c r="C142" i="5"/>
  <c r="A142" i="5"/>
  <c r="G141" i="5"/>
  <c r="C141" i="5"/>
  <c r="A141" i="5"/>
  <c r="G140" i="5"/>
  <c r="C140" i="5"/>
  <c r="A140" i="5"/>
  <c r="G139" i="5"/>
  <c r="A139" i="5"/>
  <c r="G138" i="5"/>
  <c r="C138" i="5"/>
  <c r="A138" i="5"/>
  <c r="G137" i="5"/>
  <c r="C137" i="5"/>
  <c r="A137" i="5"/>
  <c r="G136" i="5"/>
  <c r="C136" i="5"/>
  <c r="A136" i="5"/>
  <c r="G135" i="5"/>
  <c r="C135" i="5"/>
  <c r="A135" i="5"/>
  <c r="G134" i="5"/>
  <c r="C134" i="5"/>
  <c r="A134" i="5"/>
  <c r="G133" i="5"/>
  <c r="C133" i="5"/>
  <c r="A133" i="5"/>
  <c r="G132" i="5"/>
  <c r="C132" i="5"/>
  <c r="A132" i="5"/>
  <c r="G131" i="5"/>
  <c r="C131" i="5"/>
  <c r="A131" i="5"/>
  <c r="G130" i="5"/>
  <c r="C130" i="5"/>
  <c r="A130" i="5"/>
  <c r="G129" i="5"/>
  <c r="C129" i="5"/>
  <c r="A129" i="5"/>
  <c r="G128" i="5"/>
  <c r="C128" i="5"/>
  <c r="A128" i="5"/>
  <c r="G127" i="5"/>
  <c r="C127" i="5"/>
  <c r="A127" i="5"/>
  <c r="G126" i="5"/>
  <c r="C126" i="5"/>
  <c r="A126" i="5"/>
  <c r="G125" i="5"/>
  <c r="C125" i="5"/>
  <c r="A125" i="5"/>
  <c r="G124" i="5"/>
  <c r="C124" i="5"/>
  <c r="A124" i="5"/>
  <c r="G123" i="5"/>
  <c r="C123" i="5"/>
  <c r="A123" i="5"/>
  <c r="G122" i="5"/>
  <c r="C122" i="5"/>
  <c r="A122" i="5"/>
  <c r="G121" i="5"/>
  <c r="C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C115" i="5"/>
  <c r="A115" i="5"/>
  <c r="G114" i="5"/>
  <c r="C114" i="5"/>
  <c r="A114" i="5"/>
  <c r="G113" i="5"/>
  <c r="C113" i="5"/>
  <c r="A113" i="5"/>
  <c r="G112" i="5"/>
  <c r="C112" i="5"/>
  <c r="A112" i="5"/>
  <c r="G111" i="5"/>
  <c r="C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A86" i="5"/>
  <c r="G85" i="5"/>
  <c r="A85" i="5"/>
  <c r="G84" i="5"/>
  <c r="A84" i="5"/>
  <c r="G83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C34" i="5"/>
  <c r="A34" i="5"/>
  <c r="C33" i="5"/>
  <c r="A33" i="5"/>
  <c r="A32" i="5"/>
  <c r="C31" i="5"/>
  <c r="A31" i="5"/>
  <c r="C30" i="5"/>
  <c r="A30" i="5"/>
  <c r="C29" i="5"/>
  <c r="A29" i="5"/>
  <c r="C28" i="5"/>
  <c r="A28" i="5"/>
  <c r="C27" i="5"/>
  <c r="A27" i="5"/>
  <c r="C26" i="5"/>
  <c r="A26" i="5"/>
  <c r="C25" i="5"/>
  <c r="A25" i="5"/>
  <c r="C24" i="5"/>
  <c r="A24" i="5"/>
  <c r="C23" i="5"/>
  <c r="A23" i="5"/>
  <c r="C22" i="5"/>
  <c r="A22" i="5"/>
  <c r="A21" i="5"/>
  <c r="C19" i="5"/>
  <c r="A19" i="5"/>
  <c r="C18" i="5"/>
  <c r="A18" i="5"/>
  <c r="A17" i="5"/>
  <c r="C16" i="5"/>
  <c r="A16" i="5"/>
  <c r="C15" i="5"/>
  <c r="A15" i="5"/>
  <c r="C14" i="5"/>
  <c r="A14" i="5"/>
  <c r="C13" i="5"/>
  <c r="A13" i="5"/>
  <c r="G12" i="5"/>
  <c r="F12" i="5" s="1"/>
  <c r="C12" i="5"/>
  <c r="A12" i="5"/>
  <c r="G11" i="5"/>
  <c r="F11" i="5" s="1"/>
  <c r="A11" i="5"/>
  <c r="F10" i="5"/>
  <c r="C10" i="5"/>
  <c r="A10" i="5"/>
  <c r="G9" i="5"/>
  <c r="F9" i="5" s="1"/>
  <c r="C9" i="5"/>
  <c r="A9" i="5"/>
  <c r="G8" i="5"/>
  <c r="F8" i="5" s="1"/>
  <c r="C8" i="5"/>
  <c r="A8" i="5"/>
  <c r="F7" i="5"/>
  <c r="C7" i="5"/>
  <c r="A7" i="5"/>
  <c r="G6" i="5"/>
  <c r="F6" i="5" s="1"/>
  <c r="C6" i="5"/>
  <c r="A6" i="5"/>
  <c r="G5" i="5"/>
  <c r="F5" i="5" s="1"/>
  <c r="C5" i="5"/>
  <c r="A5" i="5"/>
  <c r="F4" i="5"/>
  <c r="C4" i="5"/>
  <c r="A4" i="5"/>
  <c r="G3" i="5"/>
  <c r="F3" i="5" s="1"/>
  <c r="C3" i="5"/>
  <c r="A3" i="5"/>
  <c r="G2" i="5"/>
  <c r="F2" i="5" s="1"/>
  <c r="C2" i="5"/>
  <c r="A2" i="5"/>
  <c r="C36" i="5"/>
  <c r="C35" i="5"/>
  <c r="C11" i="5"/>
  <c r="C116" i="5" l="1"/>
  <c r="C97" i="5" l="1"/>
  <c r="C119" i="5" l="1"/>
  <c r="C118" i="5"/>
  <c r="C117" i="5"/>
</calcChain>
</file>

<file path=xl/sharedStrings.xml><?xml version="1.0" encoding="utf-8"?>
<sst xmlns="http://schemas.openxmlformats.org/spreadsheetml/2006/main" count="1021" uniqueCount="272">
  <si>
    <t>TIME</t>
  </si>
  <si>
    <t>FLOW</t>
  </si>
  <si>
    <t>Before WET WELL</t>
  </si>
  <si>
    <t>After WET  WELL</t>
  </si>
  <si>
    <t>Under flow</t>
  </si>
  <si>
    <t>TOT WAS</t>
  </si>
  <si>
    <t>RAW SEWAGE PUMPS</t>
  </si>
  <si>
    <t>RETURN SLUDGE PUMPS</t>
  </si>
  <si>
    <t>PRI.  PUMPS</t>
  </si>
  <si>
    <t>RAS</t>
  </si>
  <si>
    <t>Screws #  ON</t>
  </si>
  <si>
    <t>ABF # ON</t>
  </si>
  <si>
    <t>Blowers # ON</t>
  </si>
  <si>
    <t>AMPS</t>
  </si>
  <si>
    <t>KW</t>
  </si>
  <si>
    <t>Potable Water Pressure</t>
  </si>
  <si>
    <t>Eff TSS</t>
  </si>
  <si>
    <t>H2S</t>
  </si>
  <si>
    <t>DAILY AVG.</t>
  </si>
  <si>
    <t>-</t>
  </si>
  <si>
    <t>MAX</t>
  </si>
  <si>
    <t>MIN</t>
  </si>
  <si>
    <t>Total</t>
  </si>
  <si>
    <t>NORTH BASIN</t>
  </si>
  <si>
    <t>SOUTH BASIN</t>
  </si>
  <si>
    <t>NORTH CLAR.</t>
  </si>
  <si>
    <t>SOUTH CLAR.</t>
  </si>
  <si>
    <t>NORTH RAS</t>
  </si>
  <si>
    <t>SOUTH RAS</t>
  </si>
  <si>
    <t>Basin Total Flow</t>
  </si>
  <si>
    <t>Total Underflow</t>
  </si>
  <si>
    <t xml:space="preserve">                                                                                                                                             </t>
  </si>
  <si>
    <t/>
  </si>
  <si>
    <t>Operator Initials</t>
  </si>
  <si>
    <t xml:space="preserve">Time** </t>
  </si>
  <si>
    <t>Safe to make Observation?</t>
  </si>
  <si>
    <t>Floatable Present ?</t>
  </si>
  <si>
    <t>Scum Present?</t>
  </si>
  <si>
    <t>Foam Present?</t>
  </si>
  <si>
    <t>Oily Slick Present?</t>
  </si>
  <si>
    <t>Yes</t>
  </si>
  <si>
    <t>No</t>
  </si>
  <si>
    <t>Shift: 7am-3pm</t>
  </si>
  <si>
    <t>Shift: 3pm-11pm</t>
  </si>
  <si>
    <t>Shift: 11pm-7am</t>
  </si>
  <si>
    <t>Disinfection Tank Location</t>
  </si>
  <si>
    <t>PRE</t>
  </si>
  <si>
    <t xml:space="preserve">MID </t>
  </si>
  <si>
    <t>Post</t>
  </si>
  <si>
    <t xml:space="preserve">PAA Residual </t>
  </si>
  <si>
    <t>Location</t>
  </si>
  <si>
    <t xml:space="preserve">Pri Sldg </t>
  </si>
  <si>
    <t xml:space="preserve">   Sec Dwt</t>
  </si>
  <si>
    <t>Return Sludge</t>
  </si>
  <si>
    <t>pH</t>
  </si>
  <si>
    <t>Time</t>
  </si>
  <si>
    <t>Effuent Flow (MGD)</t>
  </si>
  <si>
    <t>Final COD (mg/L)</t>
  </si>
  <si>
    <t>7am-3pm</t>
  </si>
  <si>
    <t>3pm-11pm</t>
  </si>
  <si>
    <t>11pm-7am</t>
  </si>
  <si>
    <t>Lagoon Sludge Temp</t>
  </si>
  <si>
    <t>FLARE #1</t>
  </si>
  <si>
    <t>Shift</t>
  </si>
  <si>
    <t>2A</t>
  </si>
  <si>
    <t>2C</t>
  </si>
  <si>
    <t>FLARE #2</t>
  </si>
  <si>
    <t>FLARE #3</t>
  </si>
  <si>
    <t>FLARE #4</t>
  </si>
  <si>
    <t>FLARE #5</t>
  </si>
  <si>
    <t>AVG</t>
  </si>
  <si>
    <t>Avg. of All Lagoons Temp:</t>
  </si>
  <si>
    <t>Primary Blankets</t>
  </si>
  <si>
    <t>Settlometer</t>
  </si>
  <si>
    <t>#  In Service</t>
  </si>
  <si>
    <t>#1</t>
  </si>
  <si>
    <t>#2</t>
  </si>
  <si>
    <t>#3</t>
  </si>
  <si>
    <t>#4</t>
  </si>
  <si>
    <t>North</t>
  </si>
  <si>
    <t>South</t>
  </si>
  <si>
    <t>Pri. Clarifiers</t>
  </si>
  <si>
    <t>hh:mm</t>
  </si>
  <si>
    <t>ABF Towers</t>
  </si>
  <si>
    <t>Lrg. Basin</t>
  </si>
  <si>
    <t>Sm. Basin</t>
  </si>
  <si>
    <t>.</t>
  </si>
  <si>
    <t>Total Basins</t>
  </si>
  <si>
    <t>Sec. Clarifiers</t>
  </si>
  <si>
    <t>Blowers</t>
  </si>
  <si>
    <t>Secondary Blankets</t>
  </si>
  <si>
    <t>Blower</t>
  </si>
  <si>
    <t>Avg H2S</t>
  </si>
  <si>
    <t>Volume of Biogas</t>
  </si>
  <si>
    <t>TIME **</t>
  </si>
  <si>
    <t>Inf Flow</t>
  </si>
  <si>
    <t>#5</t>
  </si>
  <si>
    <t xml:space="preserve"> Temperature</t>
  </si>
  <si>
    <t>Sludge pH</t>
  </si>
  <si>
    <t>Primary</t>
  </si>
  <si>
    <t>TOWERS</t>
  </si>
  <si>
    <t>Max</t>
  </si>
  <si>
    <t>** All Blanket times must be entered in hh:mm format military time</t>
  </si>
  <si>
    <t>Min</t>
  </si>
  <si>
    <t>Handheld</t>
  </si>
  <si>
    <t>Probes</t>
  </si>
  <si>
    <t>Flows</t>
  </si>
  <si>
    <t>Plant pH</t>
  </si>
  <si>
    <t>Power</t>
  </si>
  <si>
    <t>Max KW</t>
  </si>
  <si>
    <t>Total KW</t>
  </si>
  <si>
    <t>Sampled Date</t>
  </si>
  <si>
    <t>Parameter</t>
  </si>
  <si>
    <t>Reported Result</t>
  </si>
  <si>
    <t>Unit</t>
  </si>
  <si>
    <t>Sample Location</t>
  </si>
  <si>
    <t>Hourly Flow (00:00)</t>
  </si>
  <si>
    <t>MGD</t>
  </si>
  <si>
    <t>TEM Influent</t>
  </si>
  <si>
    <t>Hourly Flow (01:00)</t>
  </si>
  <si>
    <t>Hourly Flow (02:00)</t>
  </si>
  <si>
    <t>Hourly Flow (03:00)</t>
  </si>
  <si>
    <t>Hourly Flow (04:00)</t>
  </si>
  <si>
    <t>Hourly Flow (05:00)</t>
  </si>
  <si>
    <t>Hourly Flow (06:00)</t>
  </si>
  <si>
    <t>Hourly Flow (07:00)</t>
  </si>
  <si>
    <t>Hourly Flow (08:00)</t>
  </si>
  <si>
    <t>Hourly Flow (09:00)</t>
  </si>
  <si>
    <t>Hourly Flow (10:00)</t>
  </si>
  <si>
    <t>Hourly Flow (11:00)</t>
  </si>
  <si>
    <t>Hourly Flow (12:00)</t>
  </si>
  <si>
    <t>Hourly Flow (13:00)</t>
  </si>
  <si>
    <t>Hourly Flow (14:00)</t>
  </si>
  <si>
    <t>Hourly Flow (15:00)</t>
  </si>
  <si>
    <t>Hourly Flow (16:00)</t>
  </si>
  <si>
    <t>Hourly Flow (17:00)</t>
  </si>
  <si>
    <t>Hourly Flow (18:00)</t>
  </si>
  <si>
    <t>Hourly Flow (19:00)</t>
  </si>
  <si>
    <t>Hourly Flow (20:00)</t>
  </si>
  <si>
    <t>Hourly Flow (21:00)</t>
  </si>
  <si>
    <t>Hourly Flow (22:00)</t>
  </si>
  <si>
    <t>Hourly Flow (23:00)</t>
  </si>
  <si>
    <t>Instrument</t>
  </si>
  <si>
    <t>Blankets</t>
  </si>
  <si>
    <t>Feet</t>
  </si>
  <si>
    <t>TEM Primary Clarifier #1</t>
  </si>
  <si>
    <t>TEM Primary Clarifier #2</t>
  </si>
  <si>
    <t>TEM Primary Clarifier #3</t>
  </si>
  <si>
    <t>TEM Primary Clarifier #4</t>
  </si>
  <si>
    <t>TEM 1N Secondary Clarifier</t>
  </si>
  <si>
    <t>7 to 3</t>
  </si>
  <si>
    <t>TEM 2N Secondary Clarifier</t>
  </si>
  <si>
    <t>TEM 3N Secondary Clarifier</t>
  </si>
  <si>
    <t>TEM 4N Secondary Clarifier</t>
  </si>
  <si>
    <t>TEM 1S Secondary Clarifier</t>
  </si>
  <si>
    <t>TEM 2S Secondary Clarifier</t>
  </si>
  <si>
    <t>TEM 3S Secondary Clarifier</t>
  </si>
  <si>
    <t>TEM 4S Secondary Clarifier</t>
  </si>
  <si>
    <t>Status</t>
  </si>
  <si>
    <t>TEM Flare #1</t>
  </si>
  <si>
    <t>3 to 11</t>
  </si>
  <si>
    <t>11 to 7</t>
  </si>
  <si>
    <t>TEM Flare #2</t>
  </si>
  <si>
    <t>TEM Flare #3</t>
  </si>
  <si>
    <t>TEM Flare #4</t>
  </si>
  <si>
    <t>TEM Flare #5</t>
  </si>
  <si>
    <t>Flare Smoke</t>
  </si>
  <si>
    <t>Flare Color</t>
  </si>
  <si>
    <t>Dissolved Oxygen</t>
  </si>
  <si>
    <t>mg/L</t>
  </si>
  <si>
    <t>TEM 2N Aeration Basin</t>
  </si>
  <si>
    <t>YSI</t>
  </si>
  <si>
    <t>TEM 4N Aeration Basin</t>
  </si>
  <si>
    <t>TEM 6N Aeration Basin</t>
  </si>
  <si>
    <t>TEM 8N Aeration Basin</t>
  </si>
  <si>
    <t>TEM 10N Aeration Basin</t>
  </si>
  <si>
    <t>TEM 12N Aeration Basin</t>
  </si>
  <si>
    <t>TEM 14N Aeration Basin</t>
  </si>
  <si>
    <t>TEM 2S Aeration Basin</t>
  </si>
  <si>
    <t>TEM 4S Aeration Basin</t>
  </si>
  <si>
    <t>TEM 6S Aeration Basin</t>
  </si>
  <si>
    <t>TEM 8S Aeration Basin</t>
  </si>
  <si>
    <t>TEM 10S Aeration Basin</t>
  </si>
  <si>
    <t>TEM 12S Aeration Basin</t>
  </si>
  <si>
    <t>TEM 14S Aeration Basin</t>
  </si>
  <si>
    <t>Field Meter</t>
  </si>
  <si>
    <t>Number in Service</t>
  </si>
  <si>
    <t>TEM Primary Clairifiers</t>
  </si>
  <si>
    <t>TEM ABF Towers</t>
  </si>
  <si>
    <t>Large Basins in Service</t>
  </si>
  <si>
    <t>Aeration Basins</t>
  </si>
  <si>
    <t>Small Basins in Service</t>
  </si>
  <si>
    <t>Secondary Clarifiers</t>
  </si>
  <si>
    <t>Average Flow (MGD)</t>
  </si>
  <si>
    <t>Underflow</t>
  </si>
  <si>
    <t>Waste Activated Sludge</t>
  </si>
  <si>
    <t>TEM Power</t>
  </si>
  <si>
    <t>Temperature (Celsius)</t>
  </si>
  <si>
    <t>Celsius</t>
  </si>
  <si>
    <t>Oxygen Uptake Rate</t>
  </si>
  <si>
    <t>mg/L/hr</t>
  </si>
  <si>
    <t>TEM ABF Influent</t>
  </si>
  <si>
    <t>TEM ABF Effluent</t>
  </si>
  <si>
    <t>TEM Aeration Point 1</t>
  </si>
  <si>
    <t>TEM Aeration Point 4</t>
  </si>
  <si>
    <t>Temperature (Fahrenheit)</t>
  </si>
  <si>
    <t>Fahrenheit</t>
  </si>
  <si>
    <t>TEM Lagoon 2A</t>
  </si>
  <si>
    <t>TEM Lagoon 2B</t>
  </si>
  <si>
    <t>TEM Lagoon 2C</t>
  </si>
  <si>
    <t>TEM Lagoon 1</t>
  </si>
  <si>
    <t>pH Units</t>
  </si>
  <si>
    <t>Tem Return Sludge</t>
  </si>
  <si>
    <t>TEM Primary Waste Sludge</t>
  </si>
  <si>
    <t>TEM Lagoon Manhole</t>
  </si>
  <si>
    <t>TEM Sec Dewatering Filtrate</t>
  </si>
  <si>
    <t>TEM ABF Tower 1</t>
  </si>
  <si>
    <t>TEM ABF Tower 2</t>
  </si>
  <si>
    <t>TEM ABF Tower 3</t>
  </si>
  <si>
    <t>TEM ABF Tower 4</t>
  </si>
  <si>
    <t>TEM ABF Tower 5</t>
  </si>
  <si>
    <t>TEM ABF Tower 6</t>
  </si>
  <si>
    <t>pH (Min)</t>
  </si>
  <si>
    <t>TEM Final Effluent</t>
  </si>
  <si>
    <t>pH (Max)</t>
  </si>
  <si>
    <t>Average Flow (CFD)</t>
  </si>
  <si>
    <t>CFD</t>
  </si>
  <si>
    <t>TEM Lagoon Blower Building 1</t>
  </si>
  <si>
    <t>TEM Lagoon Blower Building 2</t>
  </si>
  <si>
    <t>Maximum Flow (MGD)</t>
  </si>
  <si>
    <t>Minimum Flow (MGD)</t>
  </si>
  <si>
    <t>Hydrogen Sulfide</t>
  </si>
  <si>
    <t>ppm</t>
  </si>
  <si>
    <t>Biorem Outlet H2S</t>
  </si>
  <si>
    <t>Date</t>
  </si>
  <si>
    <t>MM/DD/YYYY</t>
  </si>
  <si>
    <t>Color</t>
  </si>
  <si>
    <t>Meaning</t>
  </si>
  <si>
    <t>Do not edit directly</t>
  </si>
  <si>
    <t>** All manually-entered times must be entered in HH:MM format military time</t>
  </si>
  <si>
    <t>ABF tower temp</t>
  </si>
  <si>
    <t>Aeration Basin Temp</t>
  </si>
  <si>
    <t>Lagoon sludge temp</t>
  </si>
  <si>
    <t>North handheld</t>
  </si>
  <si>
    <t>South handheld</t>
  </si>
  <si>
    <t>Influent Avg Flow</t>
  </si>
  <si>
    <t>Influent Max Flow</t>
  </si>
  <si>
    <t>Total Basin Flow</t>
  </si>
  <si>
    <t>Total Clarifier Flow</t>
  </si>
  <si>
    <t>Temperatures</t>
  </si>
  <si>
    <t>PAA</t>
  </si>
  <si>
    <t>Basin DO Profile</t>
  </si>
  <si>
    <t>Basin D.O. Profile - North</t>
  </si>
  <si>
    <t>Basin D.O. Profile - South</t>
  </si>
  <si>
    <t>`</t>
  </si>
  <si>
    <t>Influent Flow (MGD)</t>
  </si>
  <si>
    <t>Avg</t>
  </si>
  <si>
    <t>Referenced on Print page</t>
  </si>
  <si>
    <t>Wasting Avg</t>
  </si>
  <si>
    <t>South permanent</t>
  </si>
  <si>
    <t>North permanent</t>
  </si>
  <si>
    <t>AERA BASINS</t>
  </si>
  <si>
    <t>PAA daily average</t>
  </si>
  <si>
    <t>PAA post average</t>
  </si>
  <si>
    <t>PAA Daily Average</t>
  </si>
  <si>
    <t>PAA Post Average</t>
  </si>
  <si>
    <t>pH Daily Average</t>
  </si>
  <si>
    <t>ShpH ift Average</t>
  </si>
  <si>
    <t>PAA Shift Average</t>
  </si>
  <si>
    <t>Clarifier Total Underflow (RAS)</t>
  </si>
  <si>
    <t>Secondary Clarifier Total Flow</t>
  </si>
  <si>
    <t>DAILY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</si>
</sst>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"/>
    <numFmt numFmtId="165" formatCode="h:mm;@"/>
    <numFmt numFmtId="166" formatCode="0.0"/>
    <numFmt numFmtId="167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trike/>
      <sz val="11"/>
      <name val="Calibri"/>
      <family val="2"/>
    </font>
    <font>
      <b/>
      <strike/>
      <sz val="11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</cellStyleXfs>
  <cellXfs count="26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4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7" fontId="0" fillId="0" borderId="0" xfId="0" applyNumberFormat="1"/>
    <xf numFmtId="20" fontId="0" fillId="0" borderId="0" xfId="0" applyNumberFormat="1" applyAlignment="1">
      <alignment horizontal="center"/>
    </xf>
    <xf numFmtId="3" fontId="0" fillId="0" borderId="0" xfId="0" applyNumberFormat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2" applyFont="1"/>
    <xf numFmtId="0" fontId="11" fillId="0" borderId="36" xfId="2" applyFont="1" applyBorder="1" applyAlignment="1">
      <alignment horizontal="center"/>
    </xf>
    <xf numFmtId="0" fontId="11" fillId="0" borderId="26" xfId="2" applyFont="1" applyBorder="1" applyAlignment="1">
      <alignment horizontal="center"/>
    </xf>
    <xf numFmtId="0" fontId="11" fillId="0" borderId="18" xfId="2" applyFont="1" applyBorder="1" applyAlignment="1">
      <alignment horizontal="center"/>
    </xf>
    <xf numFmtId="0" fontId="11" fillId="0" borderId="47" xfId="2" applyFont="1" applyBorder="1" applyAlignment="1">
      <alignment horizontal="center"/>
    </xf>
    <xf numFmtId="0" fontId="11" fillId="0" borderId="27" xfId="2" applyFont="1" applyBorder="1"/>
    <xf numFmtId="0" fontId="11" fillId="0" borderId="38" xfId="2" applyFont="1" applyBorder="1" applyAlignment="1">
      <alignment horizontal="center"/>
    </xf>
    <xf numFmtId="0" fontId="11" fillId="0" borderId="2" xfId="2" applyFont="1" applyBorder="1"/>
    <xf numFmtId="0" fontId="11" fillId="0" borderId="44" xfId="2" applyFont="1" applyBorder="1" applyAlignment="1">
      <alignment horizontal="center"/>
    </xf>
    <xf numFmtId="0" fontId="11" fillId="0" borderId="13" xfId="2" applyFont="1" applyBorder="1"/>
    <xf numFmtId="0" fontId="11" fillId="0" borderId="15" xfId="2" applyFont="1" applyBorder="1"/>
    <xf numFmtId="0" fontId="11" fillId="0" borderId="40" xfId="2" applyFont="1" applyBorder="1" applyAlignment="1">
      <alignment horizontal="center"/>
    </xf>
    <xf numFmtId="0" fontId="11" fillId="0" borderId="10" xfId="2" applyFont="1" applyBorder="1"/>
    <xf numFmtId="1" fontId="11" fillId="0" borderId="0" xfId="2" applyNumberFormat="1" applyFont="1"/>
    <xf numFmtId="0" fontId="11" fillId="0" borderId="3" xfId="2" applyFont="1" applyBorder="1" applyAlignment="1">
      <alignment horizontal="center"/>
    </xf>
    <xf numFmtId="2" fontId="11" fillId="0" borderId="0" xfId="2" applyNumberFormat="1" applyFont="1" applyAlignment="1">
      <alignment horizontal="center"/>
    </xf>
    <xf numFmtId="166" fontId="11" fillId="0" borderId="0" xfId="2" applyNumberFormat="1" applyFont="1" applyAlignment="1">
      <alignment horizontal="center"/>
    </xf>
    <xf numFmtId="0" fontId="10" fillId="0" borderId="39" xfId="2" applyFont="1" applyBorder="1"/>
    <xf numFmtId="0" fontId="9" fillId="0" borderId="0" xfId="0" applyFont="1"/>
    <xf numFmtId="0" fontId="9" fillId="0" borderId="3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0" xfId="2" applyFont="1"/>
    <xf numFmtId="1" fontId="18" fillId="0" borderId="13" xfId="1" applyNumberFormat="1" applyFont="1" applyBorder="1" applyAlignment="1">
      <alignment horizontal="center"/>
    </xf>
    <xf numFmtId="1" fontId="16" fillId="0" borderId="14" xfId="2" applyNumberFormat="1" applyFont="1" applyBorder="1" applyAlignment="1">
      <alignment horizontal="center"/>
    </xf>
    <xf numFmtId="1" fontId="16" fillId="0" borderId="53" xfId="2" applyNumberFormat="1" applyFont="1" applyBorder="1" applyAlignment="1">
      <alignment horizontal="center"/>
    </xf>
    <xf numFmtId="1" fontId="16" fillId="0" borderId="54" xfId="2" applyNumberFormat="1" applyFont="1" applyBorder="1" applyAlignment="1">
      <alignment horizontal="center"/>
    </xf>
    <xf numFmtId="0" fontId="16" fillId="0" borderId="48" xfId="2" applyFont="1" applyBorder="1" applyAlignment="1">
      <alignment horizontal="center"/>
    </xf>
    <xf numFmtId="0" fontId="16" fillId="0" borderId="32" xfId="2" applyFont="1" applyBorder="1" applyAlignment="1">
      <alignment horizontal="center"/>
    </xf>
    <xf numFmtId="0" fontId="16" fillId="0" borderId="49" xfId="2" applyFont="1" applyBorder="1" applyAlignment="1">
      <alignment horizontal="center"/>
    </xf>
    <xf numFmtId="166" fontId="19" fillId="0" borderId="2" xfId="1" applyNumberFormat="1" applyFont="1" applyBorder="1" applyAlignment="1" applyProtection="1">
      <alignment horizontal="center" vertical="top"/>
      <protection locked="0"/>
    </xf>
    <xf numFmtId="166" fontId="19" fillId="0" borderId="3" xfId="1" applyNumberFormat="1" applyFont="1" applyBorder="1" applyAlignment="1" applyProtection="1">
      <alignment horizontal="center" vertical="top"/>
      <protection locked="0"/>
    </xf>
    <xf numFmtId="166" fontId="19" fillId="0" borderId="4" xfId="1" applyNumberFormat="1" applyFont="1" applyBorder="1" applyAlignment="1" applyProtection="1">
      <alignment horizontal="center" vertical="top"/>
      <protection locked="0"/>
    </xf>
    <xf numFmtId="166" fontId="19" fillId="0" borderId="0" xfId="1" applyNumberFormat="1" applyFont="1" applyBorder="1" applyAlignment="1" applyProtection="1">
      <alignment horizontal="center" vertical="top"/>
      <protection locked="0"/>
    </xf>
    <xf numFmtId="166" fontId="19" fillId="0" borderId="2" xfId="1" applyNumberFormat="1" applyFont="1" applyBorder="1" applyAlignment="1" applyProtection="1">
      <alignment horizontal="center" vertical="center"/>
      <protection locked="0"/>
    </xf>
    <xf numFmtId="166" fontId="19" fillId="0" borderId="3" xfId="1" applyNumberFormat="1" applyFont="1" applyBorder="1" applyAlignment="1" applyProtection="1">
      <alignment horizontal="center" vertical="center"/>
      <protection locked="0"/>
    </xf>
    <xf numFmtId="166" fontId="19" fillId="0" borderId="4" xfId="1" applyNumberFormat="1" applyFont="1" applyBorder="1" applyAlignment="1" applyProtection="1">
      <alignment horizontal="center" vertical="center"/>
      <protection locked="0"/>
    </xf>
    <xf numFmtId="166" fontId="17" fillId="0" borderId="0" xfId="2" applyNumberFormat="1" applyFont="1" applyProtection="1">
      <protection locked="0"/>
    </xf>
    <xf numFmtId="166" fontId="17" fillId="0" borderId="0" xfId="2" applyNumberFormat="1" applyFont="1"/>
    <xf numFmtId="0" fontId="17" fillId="0" borderId="0" xfId="2" applyFont="1" applyProtection="1">
      <protection locked="0"/>
    </xf>
    <xf numFmtId="166" fontId="19" fillId="0" borderId="7" xfId="1" applyNumberFormat="1" applyFont="1" applyBorder="1" applyAlignment="1" applyProtection="1">
      <alignment horizontal="center" vertical="top"/>
      <protection locked="0"/>
    </xf>
    <xf numFmtId="166" fontId="19" fillId="0" borderId="17" xfId="1" applyNumberFormat="1" applyFont="1" applyBorder="1" applyAlignment="1" applyProtection="1">
      <alignment horizontal="center" vertical="top"/>
      <protection locked="0"/>
    </xf>
    <xf numFmtId="166" fontId="6" fillId="0" borderId="0" xfId="0" applyNumberFormat="1" applyFont="1" applyAlignment="1">
      <alignment horizontal="center"/>
    </xf>
    <xf numFmtId="166" fontId="19" fillId="0" borderId="0" xfId="1" applyNumberFormat="1" applyFont="1" applyBorder="1" applyAlignment="1">
      <alignment horizontal="center"/>
    </xf>
    <xf numFmtId="0" fontId="17" fillId="0" borderId="3" xfId="2" applyFont="1" applyBorder="1"/>
    <xf numFmtId="0" fontId="17" fillId="0" borderId="0" xfId="2" applyFont="1" applyAlignment="1">
      <alignment horizontal="center"/>
    </xf>
    <xf numFmtId="0" fontId="17" fillId="0" borderId="0" xfId="2" quotePrefix="1" applyFont="1"/>
    <xf numFmtId="0" fontId="17" fillId="0" borderId="3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20" fontId="17" fillId="0" borderId="3" xfId="3" applyNumberFormat="1" applyFont="1" applyBorder="1" applyAlignment="1">
      <alignment horizontal="center" vertical="center" wrapText="1"/>
    </xf>
    <xf numFmtId="166" fontId="17" fillId="0" borderId="3" xfId="3" applyNumberFormat="1" applyFont="1" applyBorder="1" applyAlignment="1">
      <alignment horizontal="center" vertical="center"/>
    </xf>
    <xf numFmtId="1" fontId="17" fillId="0" borderId="3" xfId="3" applyNumberFormat="1" applyFont="1" applyBorder="1" applyAlignment="1">
      <alignment horizontal="center" vertical="center"/>
    </xf>
    <xf numFmtId="1" fontId="17" fillId="0" borderId="3" xfId="3" applyNumberFormat="1" applyFont="1" applyBorder="1" applyAlignment="1" applyProtection="1">
      <alignment horizontal="center" vertical="center"/>
      <protection locked="0"/>
    </xf>
    <xf numFmtId="3" fontId="17" fillId="0" borderId="3" xfId="3" applyNumberFormat="1" applyFont="1" applyBorder="1" applyAlignment="1" applyProtection="1">
      <alignment horizontal="center" vertical="center"/>
      <protection locked="0"/>
    </xf>
    <xf numFmtId="166" fontId="17" fillId="0" borderId="0" xfId="3" applyNumberFormat="1" applyFont="1" applyAlignment="1">
      <alignment horizontal="center" vertical="center"/>
    </xf>
    <xf numFmtId="166" fontId="16" fillId="0" borderId="0" xfId="3" applyNumberFormat="1" applyFont="1" applyAlignment="1">
      <alignment horizontal="center" vertical="center"/>
    </xf>
    <xf numFmtId="166" fontId="17" fillId="0" borderId="3" xfId="3" applyNumberFormat="1" applyFont="1" applyBorder="1" applyAlignment="1" applyProtection="1">
      <alignment horizontal="center" vertical="center"/>
      <protection locked="0"/>
    </xf>
    <xf numFmtId="0" fontId="11" fillId="0" borderId="0" xfId="2" applyFont="1" applyAlignment="1">
      <alignment horizontal="center"/>
    </xf>
    <xf numFmtId="0" fontId="10" fillId="0" borderId="16" xfId="2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164" fontId="13" fillId="0" borderId="0" xfId="2" applyNumberFormat="1" applyFont="1" applyAlignment="1">
      <alignment horizontal="center"/>
    </xf>
    <xf numFmtId="0" fontId="11" fillId="0" borderId="0" xfId="2" applyFont="1" applyAlignment="1" applyProtection="1">
      <alignment horizontal="center"/>
      <protection locked="0"/>
    </xf>
    <xf numFmtId="3" fontId="11" fillId="0" borderId="0" xfId="2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" fontId="11" fillId="0" borderId="0" xfId="2" applyNumberFormat="1" applyFont="1" applyAlignment="1" applyProtection="1">
      <alignment horizontal="center"/>
      <protection locked="0"/>
    </xf>
    <xf numFmtId="49" fontId="15" fillId="0" borderId="0" xfId="2" applyNumberFormat="1" applyFont="1"/>
    <xf numFmtId="0" fontId="11" fillId="0" borderId="5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1" fillId="0" borderId="6" xfId="2" applyFont="1" applyBorder="1" applyAlignment="1">
      <alignment horizontal="center"/>
    </xf>
    <xf numFmtId="166" fontId="11" fillId="3" borderId="53" xfId="2" applyNumberFormat="1" applyFont="1" applyFill="1" applyBorder="1" applyAlignment="1">
      <alignment horizontal="center"/>
    </xf>
    <xf numFmtId="166" fontId="11" fillId="3" borderId="14" xfId="2" applyNumberFormat="1" applyFont="1" applyFill="1" applyBorder="1" applyAlignment="1">
      <alignment horizontal="center"/>
    </xf>
    <xf numFmtId="0" fontId="11" fillId="0" borderId="46" xfId="2" applyFont="1" applyBorder="1"/>
    <xf numFmtId="0" fontId="11" fillId="0" borderId="58" xfId="2" applyFont="1" applyBorder="1"/>
    <xf numFmtId="0" fontId="11" fillId="0" borderId="3" xfId="2" applyFont="1" applyBorder="1" applyAlignment="1">
      <alignment horizontal="center" vertical="center" wrapText="1"/>
    </xf>
    <xf numFmtId="166" fontId="11" fillId="0" borderId="5" xfId="2" applyNumberFormat="1" applyFont="1" applyBorder="1" applyAlignment="1">
      <alignment horizontal="center"/>
    </xf>
    <xf numFmtId="0" fontId="10" fillId="0" borderId="46" xfId="2" applyFont="1" applyBorder="1" applyAlignment="1">
      <alignment horizontal="center"/>
    </xf>
    <xf numFmtId="0" fontId="11" fillId="0" borderId="48" xfId="2" applyFont="1" applyBorder="1" applyAlignment="1">
      <alignment horizontal="center"/>
    </xf>
    <xf numFmtId="0" fontId="11" fillId="0" borderId="32" xfId="2" applyFont="1" applyBorder="1" applyAlignment="1">
      <alignment horizontal="center"/>
    </xf>
    <xf numFmtId="0" fontId="11" fillId="0" borderId="49" xfId="2" applyFont="1" applyBorder="1" applyAlignment="1">
      <alignment horizontal="center"/>
    </xf>
    <xf numFmtId="0" fontId="10" fillId="0" borderId="58" xfId="2" applyFont="1" applyBorder="1" applyAlignment="1">
      <alignment horizontal="center"/>
    </xf>
    <xf numFmtId="0" fontId="11" fillId="0" borderId="3" xfId="2" applyFont="1" applyBorder="1" applyAlignment="1">
      <alignment horizontal="left"/>
    </xf>
    <xf numFmtId="166" fontId="11" fillId="3" borderId="3" xfId="2" applyNumberFormat="1" applyFont="1" applyFill="1" applyBorder="1" applyAlignment="1">
      <alignment horizontal="center"/>
    </xf>
    <xf numFmtId="0" fontId="20" fillId="4" borderId="16" xfId="2" applyFont="1" applyFill="1" applyBorder="1"/>
    <xf numFmtId="0" fontId="10" fillId="0" borderId="62" xfId="2" applyFont="1" applyBorder="1" applyAlignment="1">
      <alignment horizontal="center"/>
    </xf>
    <xf numFmtId="1" fontId="11" fillId="0" borderId="48" xfId="2" applyNumberFormat="1" applyFont="1" applyBorder="1" applyAlignment="1">
      <alignment horizontal="center" vertical="center" wrapText="1"/>
    </xf>
    <xf numFmtId="1" fontId="11" fillId="0" borderId="10" xfId="2" applyNumberFormat="1" applyFont="1" applyBorder="1" applyAlignment="1">
      <alignment horizontal="center" vertical="center" wrapText="1"/>
    </xf>
    <xf numFmtId="166" fontId="11" fillId="3" borderId="5" xfId="2" applyNumberFormat="1" applyFont="1" applyFill="1" applyBorder="1" applyAlignment="1">
      <alignment horizontal="center"/>
    </xf>
    <xf numFmtId="0" fontId="17" fillId="0" borderId="4" xfId="2" applyFont="1" applyBorder="1" applyAlignment="1">
      <alignment horizontal="center"/>
    </xf>
    <xf numFmtId="0" fontId="16" fillId="0" borderId="0" xfId="2" applyFont="1" applyAlignment="1">
      <alignment horizontal="center"/>
    </xf>
    <xf numFmtId="0" fontId="11" fillId="0" borderId="46" xfId="2" applyFont="1" applyBorder="1" applyAlignment="1">
      <alignment horizontal="center"/>
    </xf>
    <xf numFmtId="0" fontId="11" fillId="0" borderId="57" xfId="2" applyFont="1" applyBorder="1" applyAlignment="1">
      <alignment horizontal="center"/>
    </xf>
    <xf numFmtId="0" fontId="11" fillId="0" borderId="58" xfId="2" applyFont="1" applyBorder="1" applyAlignment="1">
      <alignment horizontal="center"/>
    </xf>
    <xf numFmtId="0" fontId="10" fillId="0" borderId="33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166" fontId="11" fillId="3" borderId="55" xfId="2" applyNumberFormat="1" applyFont="1" applyFill="1" applyBorder="1" applyAlignment="1">
      <alignment horizontal="center"/>
    </xf>
    <xf numFmtId="0" fontId="11" fillId="0" borderId="5" xfId="2" applyFont="1" applyBorder="1" applyAlignment="1">
      <alignment horizontal="left" vertical="center"/>
    </xf>
    <xf numFmtId="0" fontId="20" fillId="4" borderId="56" xfId="2" applyFont="1" applyFill="1" applyBorder="1" applyAlignment="1">
      <alignment horizontal="center"/>
    </xf>
    <xf numFmtId="166" fontId="20" fillId="4" borderId="56" xfId="2" applyNumberFormat="1" applyFont="1" applyFill="1" applyBorder="1" applyAlignment="1">
      <alignment horizontal="center"/>
    </xf>
    <xf numFmtId="166" fontId="20" fillId="4" borderId="43" xfId="2" applyNumberFormat="1" applyFont="1" applyFill="1" applyBorder="1" applyAlignment="1">
      <alignment horizontal="center"/>
    </xf>
    <xf numFmtId="166" fontId="11" fillId="0" borderId="3" xfId="2" applyNumberFormat="1" applyFont="1" applyBorder="1" applyAlignment="1" applyProtection="1">
      <alignment horizontal="center"/>
      <protection locked="0"/>
    </xf>
    <xf numFmtId="166" fontId="11" fillId="0" borderId="3" xfId="3" applyNumberFormat="1" applyFont="1" applyBorder="1" applyAlignment="1" applyProtection="1">
      <alignment horizontal="center" vertical="center"/>
      <protection locked="0"/>
    </xf>
    <xf numFmtId="0" fontId="0" fillId="0" borderId="3" xfId="0" applyBorder="1"/>
    <xf numFmtId="16" fontId="0" fillId="0" borderId="3" xfId="0" applyNumberFormat="1" applyBorder="1"/>
    <xf numFmtId="165" fontId="11" fillId="0" borderId="3" xfId="2" applyNumberFormat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166" fontId="11" fillId="0" borderId="3" xfId="1" applyNumberFormat="1" applyFont="1" applyFill="1" applyBorder="1" applyAlignment="1" applyProtection="1">
      <alignment horizontal="center"/>
      <protection locked="0"/>
    </xf>
    <xf numFmtId="165" fontId="9" fillId="0" borderId="3" xfId="0" applyNumberFormat="1" applyFont="1" applyBorder="1" applyAlignment="1" applyProtection="1">
      <alignment horizontal="center"/>
      <protection locked="0"/>
    </xf>
    <xf numFmtId="166" fontId="11" fillId="0" borderId="3" xfId="2" applyNumberFormat="1" applyFont="1" applyBorder="1" applyAlignment="1">
      <alignment horizontal="center" vertical="center"/>
    </xf>
    <xf numFmtId="165" fontId="9" fillId="0" borderId="16" xfId="0" applyNumberFormat="1" applyFont="1" applyBorder="1" applyAlignment="1" applyProtection="1">
      <alignment horizontal="center"/>
      <protection locked="0"/>
    </xf>
    <xf numFmtId="1" fontId="9" fillId="0" borderId="8" xfId="0" applyNumberFormat="1" applyFont="1" applyBorder="1" applyAlignment="1" applyProtection="1">
      <alignment horizontal="center"/>
      <protection locked="0"/>
    </xf>
    <xf numFmtId="1" fontId="9" fillId="0" borderId="31" xfId="0" applyNumberFormat="1" applyFont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1" fontId="9" fillId="0" borderId="17" xfId="0" applyNumberFormat="1" applyFont="1" applyBorder="1" applyAlignment="1" applyProtection="1">
      <alignment horizontal="center"/>
      <protection locked="0"/>
    </xf>
    <xf numFmtId="1" fontId="9" fillId="0" borderId="10" xfId="0" applyNumberFormat="1" applyFont="1" applyBorder="1" applyAlignment="1" applyProtection="1">
      <alignment horizontal="center"/>
      <protection locked="0"/>
    </xf>
    <xf numFmtId="1" fontId="9" fillId="0" borderId="29" xfId="0" applyNumberFormat="1" applyFont="1" applyBorder="1" applyAlignment="1" applyProtection="1">
      <alignment horizontal="center"/>
      <protection locked="0"/>
    </xf>
    <xf numFmtId="1" fontId="11" fillId="0" borderId="37" xfId="2" applyNumberFormat="1" applyFont="1" applyBorder="1" applyAlignment="1" applyProtection="1">
      <alignment horizontal="center"/>
      <protection locked="0"/>
    </xf>
    <xf numFmtId="1" fontId="11" fillId="0" borderId="4" xfId="2" applyNumberFormat="1" applyFont="1" applyBorder="1" applyAlignment="1" applyProtection="1">
      <alignment horizontal="center"/>
      <protection locked="0"/>
    </xf>
    <xf numFmtId="1" fontId="11" fillId="0" borderId="4" xfId="2" applyNumberFormat="1" applyFont="1" applyBorder="1" applyAlignment="1">
      <alignment horizontal="center"/>
    </xf>
    <xf numFmtId="1" fontId="11" fillId="0" borderId="6" xfId="2" applyNumberFormat="1" applyFont="1" applyBorder="1" applyAlignment="1" applyProtection="1">
      <alignment horizontal="center"/>
      <protection locked="0"/>
    </xf>
    <xf numFmtId="0" fontId="11" fillId="0" borderId="12" xfId="2" applyFont="1" applyBorder="1" applyAlignment="1" applyProtection="1">
      <alignment horizontal="center"/>
      <protection locked="0"/>
    </xf>
    <xf numFmtId="3" fontId="11" fillId="0" borderId="51" xfId="2" applyNumberFormat="1" applyFont="1" applyBorder="1" applyAlignment="1" applyProtection="1">
      <alignment horizontal="center"/>
      <protection locked="0"/>
    </xf>
    <xf numFmtId="0" fontId="10" fillId="0" borderId="36" xfId="2" applyFont="1" applyBorder="1" applyAlignment="1">
      <alignment horizontal="center"/>
    </xf>
    <xf numFmtId="0" fontId="11" fillId="0" borderId="24" xfId="2" applyFont="1" applyBorder="1" applyAlignment="1">
      <alignment horizontal="center"/>
    </xf>
    <xf numFmtId="0" fontId="11" fillId="0" borderId="39" xfId="2" applyFont="1" applyBorder="1" applyAlignment="1">
      <alignment horizontal="center"/>
    </xf>
    <xf numFmtId="2" fontId="11" fillId="0" borderId="8" xfId="2" applyNumberFormat="1" applyFont="1" applyBorder="1" applyAlignment="1">
      <alignment horizontal="center"/>
    </xf>
    <xf numFmtId="2" fontId="11" fillId="0" borderId="9" xfId="2" applyNumberFormat="1" applyFont="1" applyBorder="1" applyAlignment="1">
      <alignment horizontal="center"/>
    </xf>
    <xf numFmtId="2" fontId="11" fillId="0" borderId="10" xfId="2" applyNumberFormat="1" applyFont="1" applyBorder="1" applyAlignment="1">
      <alignment horizontal="center"/>
    </xf>
    <xf numFmtId="2" fontId="11" fillId="0" borderId="12" xfId="2" applyNumberFormat="1" applyFont="1" applyBorder="1" applyAlignment="1">
      <alignment horizontal="center"/>
    </xf>
    <xf numFmtId="0" fontId="17" fillId="3" borderId="3" xfId="3" applyFont="1" applyFill="1" applyBorder="1" applyAlignment="1">
      <alignment horizontal="center" vertical="center" wrapText="1"/>
    </xf>
    <xf numFmtId="0" fontId="17" fillId="3" borderId="3" xfId="3" applyFont="1" applyFill="1" applyBorder="1" applyAlignment="1">
      <alignment horizontal="center" vertical="center"/>
    </xf>
    <xf numFmtId="166" fontId="17" fillId="3" borderId="3" xfId="3" applyNumberFormat="1" applyFont="1" applyFill="1" applyBorder="1" applyAlignment="1">
      <alignment horizontal="center" vertical="center"/>
    </xf>
    <xf numFmtId="166" fontId="17" fillId="0" borderId="5" xfId="3" applyNumberFormat="1" applyFont="1" applyBorder="1" applyAlignment="1" applyProtection="1">
      <alignment horizontal="center" vertical="center"/>
      <protection locked="0"/>
    </xf>
    <xf numFmtId="0" fontId="0" fillId="0" borderId="5" xfId="0" applyBorder="1"/>
    <xf numFmtId="0" fontId="17" fillId="0" borderId="0" xfId="0" applyFont="1"/>
    <xf numFmtId="0" fontId="0" fillId="2" borderId="3" xfId="0" applyFill="1" applyBorder="1"/>
    <xf numFmtId="0" fontId="0" fillId="0" borderId="56" xfId="0" applyBorder="1"/>
    <xf numFmtId="0" fontId="0" fillId="0" borderId="46" xfId="0" applyBorder="1"/>
    <xf numFmtId="0" fontId="0" fillId="0" borderId="57" xfId="0" applyBorder="1"/>
    <xf numFmtId="0" fontId="0" fillId="0" borderId="58" xfId="0" applyBorder="1"/>
    <xf numFmtId="0" fontId="8" fillId="0" borderId="3" xfId="0" applyFont="1" applyBorder="1" applyAlignment="1">
      <alignment horizontal="center" vertical="center" wrapText="1"/>
    </xf>
    <xf numFmtId="0" fontId="0" fillId="3" borderId="3" xfId="0" applyFill="1" applyBorder="1"/>
    <xf numFmtId="0" fontId="0" fillId="3" borderId="59" xfId="0" applyFill="1" applyBorder="1"/>
    <xf numFmtId="0" fontId="0" fillId="2" borderId="14" xfId="0" applyFill="1" applyBorder="1"/>
    <xf numFmtId="0" fontId="10" fillId="0" borderId="3" xfId="2" applyFont="1" applyBorder="1" applyAlignment="1">
      <alignment horizontal="center"/>
    </xf>
    <xf numFmtId="1" fontId="10" fillId="0" borderId="3" xfId="2" applyNumberFormat="1" applyFont="1" applyBorder="1" applyAlignment="1">
      <alignment horizontal="center"/>
    </xf>
    <xf numFmtId="0" fontId="0" fillId="0" borderId="60" xfId="0" applyBorder="1"/>
    <xf numFmtId="0" fontId="0" fillId="0" borderId="59" xfId="0" applyBorder="1"/>
    <xf numFmtId="0" fontId="17" fillId="3" borderId="16" xfId="3" applyFont="1" applyFill="1" applyBorder="1" applyAlignment="1">
      <alignment horizontal="center" vertical="center"/>
    </xf>
    <xf numFmtId="166" fontId="17" fillId="3" borderId="16" xfId="3" applyNumberFormat="1" applyFont="1" applyFill="1" applyBorder="1" applyAlignment="1">
      <alignment horizontal="center" vertical="center"/>
    </xf>
    <xf numFmtId="166" fontId="17" fillId="3" borderId="30" xfId="3" applyNumberFormat="1" applyFont="1" applyFill="1" applyBorder="1" applyAlignment="1">
      <alignment horizontal="center" vertical="center"/>
    </xf>
    <xf numFmtId="0" fontId="17" fillId="0" borderId="3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 shrinkToFit="1"/>
    </xf>
    <xf numFmtId="0" fontId="17" fillId="0" borderId="16" xfId="3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66" fontId="19" fillId="3" borderId="41" xfId="1" applyNumberFormat="1" applyFont="1" applyFill="1" applyBorder="1" applyAlignment="1">
      <alignment horizontal="center"/>
    </xf>
    <xf numFmtId="166" fontId="19" fillId="3" borderId="42" xfId="1" applyNumberFormat="1" applyFont="1" applyFill="1" applyBorder="1" applyAlignment="1">
      <alignment horizontal="center"/>
    </xf>
    <xf numFmtId="166" fontId="19" fillId="3" borderId="50" xfId="1" applyNumberFormat="1" applyFont="1" applyFill="1" applyBorder="1" applyAlignment="1">
      <alignment horizontal="center"/>
    </xf>
    <xf numFmtId="166" fontId="19" fillId="3" borderId="10" xfId="1" applyNumberFormat="1" applyFont="1" applyFill="1" applyBorder="1" applyAlignment="1">
      <alignment horizontal="center"/>
    </xf>
    <xf numFmtId="166" fontId="19" fillId="3" borderId="11" xfId="1" applyNumberFormat="1" applyFont="1" applyFill="1" applyBorder="1" applyAlignment="1">
      <alignment horizontal="center"/>
    </xf>
    <xf numFmtId="166" fontId="19" fillId="3" borderId="12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4" xfId="0" applyBorder="1"/>
    <xf numFmtId="0" fontId="21" fillId="0" borderId="16" xfId="0" applyFont="1" applyBorder="1"/>
    <xf numFmtId="0" fontId="21" fillId="0" borderId="46" xfId="0" applyFont="1" applyBorder="1"/>
    <xf numFmtId="0" fontId="0" fillId="0" borderId="33" xfId="0" applyBorder="1" applyAlignment="1">
      <alignment horizontal="center"/>
    </xf>
    <xf numFmtId="0" fontId="0" fillId="0" borderId="58" xfId="0" applyBorder="1" applyAlignment="1">
      <alignment horizontal="center"/>
    </xf>
    <xf numFmtId="0" fontId="3" fillId="0" borderId="3" xfId="2" applyFont="1" applyBorder="1" applyAlignment="1">
      <alignment horizontal="center"/>
    </xf>
    <xf numFmtId="14" fontId="2" fillId="3" borderId="3" xfId="2" applyNumberFormat="1" applyFill="1" applyBorder="1" applyAlignment="1" applyProtection="1">
      <alignment horizontal="center"/>
      <protection locked="0"/>
    </xf>
    <xf numFmtId="0" fontId="10" fillId="0" borderId="3" xfId="2" applyFont="1" applyBorder="1"/>
    <xf numFmtId="0" fontId="11" fillId="0" borderId="33" xfId="2" applyFont="1" applyBorder="1"/>
    <xf numFmtId="166" fontId="19" fillId="0" borderId="0" xfId="1" applyNumberFormat="1" applyFont="1" applyFill="1" applyBorder="1" applyAlignment="1">
      <alignment horizontal="center"/>
    </xf>
    <xf numFmtId="166" fontId="17" fillId="0" borderId="14" xfId="3" applyNumberFormat="1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166" fontId="17" fillId="3" borderId="5" xfId="3" applyNumberFormat="1" applyFont="1" applyFill="1" applyBorder="1" applyAlignment="1">
      <alignment horizontal="center" vertical="center"/>
    </xf>
    <xf numFmtId="166" fontId="17" fillId="3" borderId="46" xfId="3" applyNumberFormat="1" applyFont="1" applyFill="1" applyBorder="1" applyAlignment="1">
      <alignment horizontal="center" vertical="center"/>
    </xf>
    <xf numFmtId="166" fontId="17" fillId="5" borderId="16" xfId="3" applyNumberFormat="1" applyFont="1" applyFill="1" applyBorder="1" applyAlignment="1">
      <alignment horizontal="center" vertical="center"/>
    </xf>
    <xf numFmtId="166" fontId="17" fillId="5" borderId="30" xfId="3" applyNumberFormat="1" applyFont="1" applyFill="1" applyBorder="1" applyAlignment="1">
      <alignment horizontal="center" vertical="center"/>
    </xf>
    <xf numFmtId="0" fontId="17" fillId="5" borderId="30" xfId="3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164" fontId="11" fillId="0" borderId="3" xfId="2" applyNumberFormat="1" applyFont="1" applyBorder="1" applyAlignment="1">
      <alignment horizontal="center"/>
    </xf>
    <xf numFmtId="2" fontId="11" fillId="0" borderId="3" xfId="2" applyNumberFormat="1" applyFont="1" applyBorder="1" applyAlignment="1" applyProtection="1">
      <alignment horizontal="center"/>
      <protection locked="0"/>
    </xf>
    <xf numFmtId="0" fontId="11" fillId="0" borderId="3" xfId="2" applyFont="1" applyBorder="1" applyAlignment="1" applyProtection="1">
      <alignment horizontal="center" vertical="center" wrapText="1"/>
      <protection locked="0"/>
    </xf>
    <xf numFmtId="166" fontId="11" fillId="3" borderId="3" xfId="2" applyNumberFormat="1" applyFont="1" applyFill="1" applyBorder="1" applyAlignment="1">
      <alignment horizontal="center" vertical="center"/>
    </xf>
    <xf numFmtId="0" fontId="0" fillId="6" borderId="3" xfId="0" applyFill="1" applyBorder="1"/>
    <xf numFmtId="2" fontId="11" fillId="6" borderId="14" xfId="2" applyNumberFormat="1" applyFont="1" applyFill="1" applyBorder="1" applyAlignment="1">
      <alignment horizontal="center"/>
    </xf>
    <xf numFmtId="166" fontId="17" fillId="6" borderId="3" xfId="3" applyNumberFormat="1" applyFont="1" applyFill="1" applyBorder="1" applyAlignment="1">
      <alignment horizontal="center" vertical="center"/>
    </xf>
    <xf numFmtId="166" fontId="11" fillId="6" borderId="3" xfId="2" applyNumberFormat="1" applyFont="1" applyFill="1" applyBorder="1" applyAlignment="1">
      <alignment horizontal="center"/>
    </xf>
    <xf numFmtId="166" fontId="17" fillId="6" borderId="16" xfId="3" applyNumberFormat="1" applyFont="1" applyFill="1" applyBorder="1" applyAlignment="1">
      <alignment horizontal="center" vertical="center"/>
    </xf>
    <xf numFmtId="3" fontId="11" fillId="6" borderId="14" xfId="2" applyNumberFormat="1" applyFont="1" applyFill="1" applyBorder="1" applyAlignment="1">
      <alignment horizontal="center"/>
    </xf>
    <xf numFmtId="3" fontId="11" fillId="6" borderId="3" xfId="2" applyNumberFormat="1" applyFont="1" applyFill="1" applyBorder="1" applyAlignment="1">
      <alignment horizontal="center"/>
    </xf>
    <xf numFmtId="166" fontId="17" fillId="6" borderId="3" xfId="2" applyNumberFormat="1" applyFont="1" applyFill="1" applyBorder="1"/>
    <xf numFmtId="166" fontId="11" fillId="6" borderId="3" xfId="2" applyNumberFormat="1" applyFont="1" applyFill="1" applyBorder="1" applyAlignment="1">
      <alignment horizontal="center" vertical="center"/>
    </xf>
    <xf numFmtId="166" fontId="11" fillId="6" borderId="14" xfId="2" applyNumberFormat="1" applyFont="1" applyFill="1" applyBorder="1" applyAlignment="1" applyProtection="1">
      <alignment horizontal="center"/>
      <protection locked="0"/>
    </xf>
    <xf numFmtId="0" fontId="0" fillId="6" borderId="3" xfId="0" applyFill="1" applyBorder="1" applyAlignment="1">
      <alignment horizontal="center"/>
    </xf>
    <xf numFmtId="0" fontId="11" fillId="0" borderId="14" xfId="2" applyFont="1" applyBorder="1" applyAlignment="1">
      <alignment horizontal="left"/>
    </xf>
    <xf numFmtId="166" fontId="19" fillId="3" borderId="53" xfId="1" applyNumberFormat="1" applyFont="1" applyFill="1" applyBorder="1" applyAlignment="1">
      <alignment horizontal="center"/>
    </xf>
    <xf numFmtId="166" fontId="19" fillId="3" borderId="54" xfId="1" applyNumberFormat="1" applyFont="1" applyFill="1" applyBorder="1" applyAlignment="1">
      <alignment horizontal="center"/>
    </xf>
    <xf numFmtId="166" fontId="19" fillId="3" borderId="13" xfId="1" applyNumberFormat="1" applyFont="1" applyFill="1" applyBorder="1" applyAlignment="1">
      <alignment horizontal="center"/>
    </xf>
    <xf numFmtId="14" fontId="16" fillId="0" borderId="0" xfId="2" applyNumberFormat="1" applyFont="1" applyBorder="1" applyAlignment="1">
      <alignment horizontal="center" vertical="top"/>
    </xf>
    <xf numFmtId="0" fontId="16" fillId="0" borderId="36" xfId="2" applyFont="1" applyBorder="1" applyAlignment="1">
      <alignment horizontal="center"/>
    </xf>
    <xf numFmtId="20" fontId="17" fillId="0" borderId="38" xfId="2" applyNumberFormat="1" applyFont="1" applyBorder="1" applyAlignment="1">
      <alignment horizontal="right"/>
    </xf>
    <xf numFmtId="20" fontId="17" fillId="0" borderId="44" xfId="2" applyNumberFormat="1" applyFont="1" applyBorder="1" applyAlignment="1">
      <alignment horizontal="right"/>
    </xf>
    <xf numFmtId="20" fontId="17" fillId="0" borderId="63" xfId="2" applyNumberFormat="1" applyFont="1" applyBorder="1" applyAlignment="1">
      <alignment horizontal="right"/>
    </xf>
    <xf numFmtId="0" fontId="17" fillId="3" borderId="63" xfId="2" applyFont="1" applyFill="1" applyBorder="1" applyAlignment="1">
      <alignment horizontal="right" wrapText="1"/>
    </xf>
    <xf numFmtId="0" fontId="16" fillId="0" borderId="0" xfId="2" applyFont="1" applyAlignment="1">
      <alignment horizontal="center"/>
    </xf>
    <xf numFmtId="0" fontId="16" fillId="0" borderId="23" xfId="2" applyFont="1" applyBorder="1" applyAlignment="1">
      <alignment horizontal="center"/>
    </xf>
    <xf numFmtId="0" fontId="16" fillId="0" borderId="35" xfId="2" applyFont="1" applyBorder="1" applyAlignment="1">
      <alignment horizontal="center"/>
    </xf>
    <xf numFmtId="0" fontId="16" fillId="0" borderId="28" xfId="2" applyFont="1" applyBorder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/>
    </xf>
    <xf numFmtId="0" fontId="12" fillId="0" borderId="30" xfId="2" applyFont="1" applyBorder="1" applyAlignment="1">
      <alignment horizontal="center"/>
    </xf>
    <xf numFmtId="0" fontId="12" fillId="0" borderId="33" xfId="2" applyFont="1" applyBorder="1" applyAlignment="1">
      <alignment horizontal="center"/>
    </xf>
    <xf numFmtId="0" fontId="11" fillId="0" borderId="3" xfId="2" applyFont="1" applyBorder="1" applyAlignment="1" applyProtection="1">
      <alignment horizontal="right" vertical="center"/>
      <protection locked="0"/>
    </xf>
    <xf numFmtId="166" fontId="14" fillId="0" borderId="0" xfId="2" applyNumberFormat="1" applyFont="1" applyAlignment="1" applyProtection="1">
      <alignment horizontal="center"/>
      <protection locked="0"/>
    </xf>
    <xf numFmtId="0" fontId="10" fillId="0" borderId="61" xfId="2" applyFont="1" applyBorder="1" applyAlignment="1">
      <alignment horizontal="center"/>
    </xf>
    <xf numFmtId="0" fontId="10" fillId="0" borderId="51" xfId="2" applyFont="1" applyBorder="1" applyAlignment="1">
      <alignment horizontal="center"/>
    </xf>
    <xf numFmtId="0" fontId="10" fillId="0" borderId="24" xfId="2" applyFont="1" applyBorder="1" applyAlignment="1">
      <alignment horizontal="center"/>
    </xf>
    <xf numFmtId="0" fontId="10" fillId="0" borderId="25" xfId="2" applyFont="1" applyBorder="1" applyAlignment="1">
      <alignment horizontal="center"/>
    </xf>
    <xf numFmtId="0" fontId="10" fillId="0" borderId="26" xfId="2" applyFont="1" applyBorder="1" applyAlignment="1">
      <alignment horizontal="center"/>
    </xf>
    <xf numFmtId="0" fontId="10" fillId="0" borderId="21" xfId="2" applyFont="1" applyBorder="1" applyAlignment="1">
      <alignment horizontal="center"/>
    </xf>
    <xf numFmtId="0" fontId="10" fillId="0" borderId="22" xfId="2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0" fontId="10" fillId="0" borderId="23" xfId="2" applyFont="1" applyBorder="1" applyAlignment="1">
      <alignment horizontal="center"/>
    </xf>
    <xf numFmtId="0" fontId="10" fillId="0" borderId="28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46" xfId="2" applyFont="1" applyBorder="1" applyAlignment="1">
      <alignment horizontal="center"/>
    </xf>
    <xf numFmtId="0" fontId="11" fillId="0" borderId="57" xfId="2" applyFont="1" applyBorder="1" applyAlignment="1">
      <alignment horizontal="center"/>
    </xf>
    <xf numFmtId="0" fontId="11" fillId="0" borderId="58" xfId="2" applyFont="1" applyBorder="1" applyAlignment="1">
      <alignment horizontal="center"/>
    </xf>
    <xf numFmtId="0" fontId="10" fillId="0" borderId="46" xfId="2" applyFont="1" applyBorder="1" applyAlignment="1">
      <alignment horizontal="center"/>
    </xf>
    <xf numFmtId="0" fontId="10" fillId="0" borderId="57" xfId="2" applyFont="1" applyBorder="1" applyAlignment="1">
      <alignment horizontal="center"/>
    </xf>
    <xf numFmtId="0" fontId="10" fillId="0" borderId="30" xfId="2" applyFont="1" applyBorder="1" applyAlignment="1">
      <alignment horizontal="center"/>
    </xf>
    <xf numFmtId="0" fontId="10" fillId="0" borderId="33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7" fillId="3" borderId="46" xfId="2" applyFont="1" applyFill="1" applyBorder="1"/>
    <xf numFmtId="0" fontId="17" fillId="3" borderId="5" xfId="2" applyFont="1" applyFill="1" applyBorder="1" applyAlignment="1">
      <alignment horizontal="right"/>
    </xf>
    <xf numFmtId="0" fontId="17" fillId="3" borderId="60" xfId="2" applyFont="1" applyFill="1" applyBorder="1"/>
    <xf numFmtId="0" fontId="17" fillId="3" borderId="53" xfId="2" applyFont="1" applyFill="1" applyBorder="1" applyAlignment="1">
      <alignment horizontal="right"/>
    </xf>
    <xf numFmtId="0" fontId="17" fillId="3" borderId="59" xfId="2" applyFont="1" applyFill="1" applyBorder="1"/>
    <xf numFmtId="0" fontId="17" fillId="3" borderId="14" xfId="2" applyFont="1" applyFill="1" applyBorder="1" applyAlignment="1">
      <alignment horizontal="right"/>
    </xf>
    <xf numFmtId="0" fontId="17" fillId="0" borderId="0" xfId="2" applyFont="1" applyFill="1"/>
    <xf numFmtId="0" fontId="17" fillId="0" borderId="57" xfId="2" applyFont="1" applyFill="1" applyBorder="1" applyAlignment="1">
      <alignment horizontal="right" wrapText="1"/>
    </xf>
    <xf numFmtId="0" fontId="17" fillId="3" borderId="57" xfId="2" applyFont="1" applyFill="1" applyBorder="1"/>
    <xf numFmtId="0" fontId="17" fillId="3" borderId="0" xfId="2" applyFont="1" applyFill="1" applyBorder="1"/>
    <xf numFmtId="0" fontId="17" fillId="3" borderId="56" xfId="2" applyFont="1" applyFill="1" applyBorder="1"/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_Hourly Data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Y35"/>
  <sheetViews>
    <sheetView zoomScale="80" zoomScaleNormal="80" zoomScaleSheetLayoutView="150" workbookViewId="0">
      <selection activeCell="R32" sqref="R32"/>
    </sheetView>
  </sheetViews>
  <sheetFormatPr defaultColWidth="9.140625" defaultRowHeight="15" x14ac:dyDescent="0.25"/>
  <cols>
    <col min="1" max="1" width="2.7109375" style="62" customWidth="1"/>
    <col min="2" max="2" width="10.85546875" style="62" customWidth="1"/>
    <col min="3" max="3" width="12.28515625" style="62" customWidth="1"/>
    <col min="4" max="4" width="11.28515625" style="62" customWidth="1"/>
    <col min="5" max="5" width="9.7109375" style="62" customWidth="1"/>
    <col min="6" max="6" width="9" style="62" customWidth="1"/>
    <col min="7" max="7" width="10.42578125" style="62" customWidth="1"/>
    <col min="8" max="8" width="8.5703125" style="62" customWidth="1"/>
    <col min="9" max="9" width="14.5703125" style="62" customWidth="1"/>
    <col min="10" max="10" width="13" style="62" customWidth="1"/>
    <col min="11" max="11" width="11.140625" style="62" customWidth="1"/>
    <col min="12" max="12" width="6.7109375" style="62" customWidth="1"/>
    <col min="13" max="13" width="13.85546875" style="62" customWidth="1"/>
    <col min="14" max="14" width="8.85546875" style="62" customWidth="1"/>
    <col min="15" max="15" width="10.85546875" style="62" customWidth="1"/>
    <col min="16" max="16" width="8.28515625" style="62" bestFit="1" customWidth="1"/>
    <col min="17" max="17" width="9" style="62" customWidth="1"/>
    <col min="18" max="18" width="14.42578125" style="62" customWidth="1"/>
    <col min="19" max="19" width="8.28515625" style="62" bestFit="1" customWidth="1"/>
    <col min="20" max="20" width="10.7109375" style="62" bestFit="1" customWidth="1"/>
    <col min="21" max="16384" width="9.140625" style="62"/>
  </cols>
  <sheetData>
    <row r="2" spans="2:22" ht="50.25" customHeight="1" x14ac:dyDescent="0.25">
      <c r="B2" s="61" t="s">
        <v>0</v>
      </c>
      <c r="C2" s="166" t="s">
        <v>255</v>
      </c>
      <c r="D2" s="189" t="s">
        <v>56</v>
      </c>
      <c r="E2" s="166" t="s">
        <v>2</v>
      </c>
      <c r="F2" s="166" t="s">
        <v>3</v>
      </c>
      <c r="G2" s="166" t="s">
        <v>4</v>
      </c>
      <c r="H2" s="167" t="s">
        <v>5</v>
      </c>
      <c r="I2" s="166" t="s">
        <v>6</v>
      </c>
      <c r="J2" s="166" t="s">
        <v>7</v>
      </c>
      <c r="K2" s="166" t="s">
        <v>8</v>
      </c>
      <c r="L2" s="166" t="s">
        <v>9</v>
      </c>
      <c r="M2" s="166" t="s">
        <v>10</v>
      </c>
      <c r="N2" s="166" t="s">
        <v>11</v>
      </c>
      <c r="O2" s="166" t="s">
        <v>12</v>
      </c>
      <c r="P2" s="61" t="s">
        <v>13</v>
      </c>
      <c r="Q2" s="61" t="s">
        <v>14</v>
      </c>
      <c r="R2" s="168" t="s">
        <v>15</v>
      </c>
      <c r="S2" s="166" t="s">
        <v>16</v>
      </c>
      <c r="T2" s="61" t="s">
        <v>17</v>
      </c>
      <c r="U2" s="190" t="s">
        <v>57</v>
      </c>
    </row>
    <row r="3" spans="2:22" ht="12.95" customHeight="1" x14ac:dyDescent="0.25">
      <c r="B3" s="63">
        <v>0</v>
      </c>
      <c r="C3" s="64"/>
      <c r="D3" s="188"/>
      <c r="E3" s="64"/>
      <c r="F3" s="64"/>
      <c r="G3" s="64"/>
      <c r="H3" s="64"/>
      <c r="I3" s="64"/>
      <c r="J3" s="64"/>
      <c r="K3" s="64"/>
      <c r="L3" s="64"/>
      <c r="M3" s="65"/>
      <c r="N3" s="65"/>
      <c r="O3" s="65"/>
      <c r="P3" s="65"/>
      <c r="Q3" s="65"/>
      <c r="R3" s="66"/>
      <c r="S3" s="65"/>
      <c r="T3" s="67"/>
      <c r="U3" s="178"/>
    </row>
    <row r="4" spans="2:22" ht="12.95" customHeight="1" x14ac:dyDescent="0.25">
      <c r="B4" s="63">
        <v>4.1666666666666664E-2</v>
      </c>
      <c r="C4" s="64"/>
      <c r="D4" s="70"/>
      <c r="E4" s="64"/>
      <c r="F4" s="64"/>
      <c r="G4" s="64"/>
      <c r="H4" s="64"/>
      <c r="I4" s="64"/>
      <c r="J4" s="64"/>
      <c r="K4" s="64"/>
      <c r="L4" s="64"/>
      <c r="M4" s="65"/>
      <c r="N4" s="65"/>
      <c r="O4" s="65"/>
      <c r="P4" s="65"/>
      <c r="Q4" s="65"/>
      <c r="R4" s="66"/>
      <c r="S4" s="65"/>
      <c r="T4" s="67"/>
      <c r="U4" s="117"/>
    </row>
    <row r="5" spans="2:22" ht="12.95" customHeight="1" x14ac:dyDescent="0.25">
      <c r="B5" s="63">
        <v>8.3333333333333301E-2</v>
      </c>
      <c r="C5" s="64"/>
      <c r="D5" s="70"/>
      <c r="E5" s="64"/>
      <c r="F5" s="64"/>
      <c r="G5" s="64"/>
      <c r="H5" s="64"/>
      <c r="I5" s="64"/>
      <c r="J5" s="64"/>
      <c r="K5" s="64"/>
      <c r="L5" s="64"/>
      <c r="M5" s="65"/>
      <c r="N5" s="65"/>
      <c r="O5" s="65"/>
      <c r="P5" s="65"/>
      <c r="Q5" s="65"/>
      <c r="R5" s="66"/>
      <c r="S5" s="65"/>
      <c r="T5" s="67"/>
      <c r="U5" s="117"/>
    </row>
    <row r="6" spans="2:22" ht="12.95" customHeight="1" x14ac:dyDescent="0.25">
      <c r="B6" s="63">
        <v>0.125</v>
      </c>
      <c r="C6" s="64"/>
      <c r="D6" s="70"/>
      <c r="E6" s="64"/>
      <c r="F6" s="64"/>
      <c r="G6" s="64"/>
      <c r="H6" s="64"/>
      <c r="I6" s="64"/>
      <c r="J6" s="64"/>
      <c r="K6" s="64"/>
      <c r="L6" s="64"/>
      <c r="M6" s="65"/>
      <c r="N6" s="65"/>
      <c r="O6" s="65"/>
      <c r="P6" s="65"/>
      <c r="Q6" s="65"/>
      <c r="R6" s="66"/>
      <c r="S6" s="65"/>
      <c r="T6" s="67"/>
      <c r="U6" s="117"/>
    </row>
    <row r="7" spans="2:22" ht="12.95" customHeight="1" x14ac:dyDescent="0.25">
      <c r="B7" s="63">
        <v>0.16666666666666699</v>
      </c>
      <c r="C7" s="64"/>
      <c r="D7" s="70"/>
      <c r="E7" s="64"/>
      <c r="F7" s="64"/>
      <c r="G7" s="64"/>
      <c r="H7" s="64"/>
      <c r="I7" s="64"/>
      <c r="J7" s="64"/>
      <c r="K7" s="64"/>
      <c r="L7" s="64"/>
      <c r="M7" s="65"/>
      <c r="N7" s="65"/>
      <c r="O7" s="65"/>
      <c r="P7" s="65"/>
      <c r="Q7" s="65"/>
      <c r="R7" s="66"/>
      <c r="S7" s="65"/>
      <c r="T7" s="67"/>
      <c r="U7" s="117"/>
    </row>
    <row r="8" spans="2:22" ht="12.95" customHeight="1" x14ac:dyDescent="0.25">
      <c r="B8" s="63">
        <v>0.20833333333333301</v>
      </c>
      <c r="C8" s="64"/>
      <c r="D8" s="70"/>
      <c r="E8" s="64"/>
      <c r="F8" s="64"/>
      <c r="G8" s="64"/>
      <c r="H8" s="64"/>
      <c r="I8" s="64"/>
      <c r="J8" s="64"/>
      <c r="K8" s="64"/>
      <c r="L8" s="64"/>
      <c r="M8" s="65"/>
      <c r="N8" s="65"/>
      <c r="O8" s="65"/>
      <c r="P8" s="65"/>
      <c r="Q8" s="65"/>
      <c r="R8" s="66"/>
      <c r="S8" s="65"/>
      <c r="T8" s="67"/>
      <c r="U8" s="117"/>
    </row>
    <row r="9" spans="2:22" ht="12.95" customHeight="1" x14ac:dyDescent="0.25">
      <c r="B9" s="63">
        <v>0.25</v>
      </c>
      <c r="C9" s="64"/>
      <c r="D9" s="70"/>
      <c r="E9" s="64"/>
      <c r="F9" s="64"/>
      <c r="G9" s="64"/>
      <c r="H9" s="64"/>
      <c r="I9" s="64"/>
      <c r="J9" s="64"/>
      <c r="K9" s="64"/>
      <c r="L9" s="64"/>
      <c r="M9" s="65"/>
      <c r="N9" s="65"/>
      <c r="O9" s="65"/>
      <c r="P9" s="65"/>
      <c r="Q9" s="65"/>
      <c r="R9" s="66"/>
      <c r="S9" s="65"/>
      <c r="T9" s="67"/>
      <c r="U9" s="117"/>
    </row>
    <row r="10" spans="2:22" ht="12.95" customHeight="1" x14ac:dyDescent="0.25">
      <c r="B10" s="63">
        <v>0.29166666666666702</v>
      </c>
      <c r="C10" s="64"/>
      <c r="D10" s="70"/>
      <c r="E10" s="64"/>
      <c r="F10" s="64"/>
      <c r="G10" s="64"/>
      <c r="H10" s="64"/>
      <c r="I10" s="64"/>
      <c r="J10" s="64"/>
      <c r="K10" s="64"/>
      <c r="L10" s="64"/>
      <c r="M10" s="65"/>
      <c r="N10" s="65"/>
      <c r="O10" s="65"/>
      <c r="P10" s="65"/>
      <c r="Q10" s="65"/>
      <c r="R10" s="66"/>
      <c r="S10" s="65"/>
      <c r="T10" s="67"/>
      <c r="U10" s="117"/>
      <c r="V10" s="68"/>
    </row>
    <row r="11" spans="2:22" ht="12.95" customHeight="1" x14ac:dyDescent="0.25">
      <c r="B11" s="63">
        <v>0.33333333333333298</v>
      </c>
      <c r="C11" s="64"/>
      <c r="D11" s="70"/>
      <c r="E11" s="64"/>
      <c r="F11" s="64"/>
      <c r="G11" s="64"/>
      <c r="H11" s="64"/>
      <c r="I11" s="64"/>
      <c r="J11" s="64"/>
      <c r="K11" s="64"/>
      <c r="L11" s="64"/>
      <c r="M11" s="65"/>
      <c r="N11" s="65"/>
      <c r="O11" s="65"/>
      <c r="P11" s="65"/>
      <c r="Q11" s="65"/>
      <c r="R11" s="66"/>
      <c r="S11" s="65"/>
      <c r="T11" s="67"/>
      <c r="U11" s="117"/>
      <c r="V11" s="68"/>
    </row>
    <row r="12" spans="2:22" ht="12.95" customHeight="1" x14ac:dyDescent="0.25">
      <c r="B12" s="63">
        <v>0.375</v>
      </c>
      <c r="C12" s="64"/>
      <c r="D12" s="70"/>
      <c r="E12" s="64"/>
      <c r="F12" s="64"/>
      <c r="G12" s="64"/>
      <c r="H12" s="64"/>
      <c r="I12" s="64"/>
      <c r="J12" s="64"/>
      <c r="K12" s="64"/>
      <c r="L12" s="64"/>
      <c r="M12" s="65"/>
      <c r="N12" s="65"/>
      <c r="O12" s="65"/>
      <c r="P12" s="65"/>
      <c r="Q12" s="65"/>
      <c r="R12" s="66"/>
      <c r="S12" s="65"/>
      <c r="T12" s="67"/>
      <c r="U12" s="117"/>
      <c r="V12" s="68"/>
    </row>
    <row r="13" spans="2:22" ht="12.95" customHeight="1" x14ac:dyDescent="0.25">
      <c r="B13" s="63">
        <v>0.41666666666666702</v>
      </c>
      <c r="C13" s="64"/>
      <c r="D13" s="70"/>
      <c r="E13" s="64"/>
      <c r="F13" s="64"/>
      <c r="G13" s="64"/>
      <c r="H13" s="64"/>
      <c r="I13" s="64"/>
      <c r="J13" s="64"/>
      <c r="K13" s="64"/>
      <c r="L13" s="64"/>
      <c r="M13" s="65"/>
      <c r="N13" s="65"/>
      <c r="O13" s="65"/>
      <c r="P13" s="65"/>
      <c r="Q13" s="65"/>
      <c r="R13" s="66"/>
      <c r="S13" s="65"/>
      <c r="T13" s="67"/>
      <c r="U13" s="117"/>
      <c r="V13" s="68"/>
    </row>
    <row r="14" spans="2:22" ht="12.95" customHeight="1" x14ac:dyDescent="0.25">
      <c r="B14" s="63">
        <v>0.45833333333333331</v>
      </c>
      <c r="C14" s="64"/>
      <c r="D14" s="70"/>
      <c r="E14" s="64"/>
      <c r="F14" s="64"/>
      <c r="G14" s="64"/>
      <c r="H14" s="64"/>
      <c r="I14" s="64"/>
      <c r="J14" s="64"/>
      <c r="K14" s="64"/>
      <c r="L14" s="64"/>
      <c r="M14" s="65"/>
      <c r="N14" s="65"/>
      <c r="O14" s="65"/>
      <c r="P14" s="65"/>
      <c r="Q14" s="65"/>
      <c r="R14" s="66"/>
      <c r="S14" s="65"/>
      <c r="T14" s="67"/>
      <c r="U14" s="117"/>
      <c r="V14" s="68"/>
    </row>
    <row r="15" spans="2:22" ht="12.95" customHeight="1" x14ac:dyDescent="0.25">
      <c r="B15" s="63">
        <v>0.5</v>
      </c>
      <c r="C15" s="64"/>
      <c r="D15" s="70"/>
      <c r="E15" s="64"/>
      <c r="F15" s="64"/>
      <c r="G15" s="64"/>
      <c r="H15" s="64"/>
      <c r="I15" s="64"/>
      <c r="J15" s="64"/>
      <c r="K15" s="64"/>
      <c r="L15" s="64"/>
      <c r="M15" s="65"/>
      <c r="N15" s="65"/>
      <c r="O15" s="65"/>
      <c r="P15" s="65"/>
      <c r="Q15" s="65"/>
      <c r="R15" s="66"/>
      <c r="S15" s="65"/>
      <c r="T15" s="67"/>
      <c r="U15" s="117"/>
      <c r="V15" s="68"/>
    </row>
    <row r="16" spans="2:22" ht="12.95" customHeight="1" x14ac:dyDescent="0.25">
      <c r="B16" s="63">
        <v>0.54166666666666696</v>
      </c>
      <c r="C16" s="64"/>
      <c r="D16" s="70"/>
      <c r="E16" s="64"/>
      <c r="F16" s="64"/>
      <c r="G16" s="64"/>
      <c r="H16" s="64"/>
      <c r="I16" s="64"/>
      <c r="J16" s="64"/>
      <c r="K16" s="64"/>
      <c r="L16" s="64"/>
      <c r="M16" s="65"/>
      <c r="N16" s="65"/>
      <c r="O16" s="65"/>
      <c r="P16" s="65"/>
      <c r="Q16" s="65"/>
      <c r="R16" s="66"/>
      <c r="S16" s="65"/>
      <c r="T16" s="67"/>
      <c r="U16" s="117"/>
      <c r="V16" s="68"/>
    </row>
    <row r="17" spans="2:25" ht="12.95" customHeight="1" x14ac:dyDescent="0.25">
      <c r="B17" s="63">
        <v>0.58333333333333337</v>
      </c>
      <c r="C17" s="64"/>
      <c r="D17" s="70"/>
      <c r="E17" s="64"/>
      <c r="F17" s="64"/>
      <c r="G17" s="64"/>
      <c r="H17" s="64"/>
      <c r="I17" s="64"/>
      <c r="J17" s="64"/>
      <c r="K17" s="64"/>
      <c r="L17" s="64"/>
      <c r="M17" s="65"/>
      <c r="N17" s="65"/>
      <c r="O17" s="65"/>
      <c r="P17" s="65"/>
      <c r="Q17" s="65"/>
      <c r="R17" s="66"/>
      <c r="S17" s="65"/>
      <c r="T17" s="67"/>
      <c r="U17" s="117"/>
      <c r="V17" s="68"/>
    </row>
    <row r="18" spans="2:25" ht="12.95" customHeight="1" x14ac:dyDescent="0.25">
      <c r="B18" s="63">
        <v>0.625</v>
      </c>
      <c r="C18" s="64"/>
      <c r="D18" s="70"/>
      <c r="E18" s="64"/>
      <c r="F18" s="64"/>
      <c r="G18" s="64"/>
      <c r="H18" s="64"/>
      <c r="I18" s="64"/>
      <c r="J18" s="64"/>
      <c r="K18" s="64"/>
      <c r="L18" s="64"/>
      <c r="M18" s="65"/>
      <c r="N18" s="65"/>
      <c r="O18" s="65"/>
      <c r="P18" s="65"/>
      <c r="Q18" s="65"/>
      <c r="R18" s="66"/>
      <c r="S18" s="65"/>
      <c r="T18" s="67"/>
      <c r="U18" s="117"/>
      <c r="V18" s="68"/>
    </row>
    <row r="19" spans="2:25" ht="12.95" customHeight="1" x14ac:dyDescent="0.25">
      <c r="B19" s="63">
        <v>0.66666666666666696</v>
      </c>
      <c r="C19" s="64"/>
      <c r="D19" s="70"/>
      <c r="E19" s="64"/>
      <c r="F19" s="64"/>
      <c r="G19" s="64"/>
      <c r="H19" s="64"/>
      <c r="I19" s="64"/>
      <c r="J19" s="64"/>
      <c r="K19" s="64"/>
      <c r="L19" s="64"/>
      <c r="M19" s="65"/>
      <c r="N19" s="65"/>
      <c r="O19" s="65"/>
      <c r="P19" s="65"/>
      <c r="Q19" s="65"/>
      <c r="R19" s="66"/>
      <c r="S19" s="65"/>
      <c r="T19" s="67"/>
      <c r="U19" s="117"/>
      <c r="V19" s="69"/>
    </row>
    <row r="20" spans="2:25" ht="12.95" customHeight="1" x14ac:dyDescent="0.25">
      <c r="B20" s="63">
        <v>0.70833333333333304</v>
      </c>
      <c r="C20" s="64"/>
      <c r="D20" s="70"/>
      <c r="E20" s="64"/>
      <c r="F20" s="64"/>
      <c r="G20" s="64"/>
      <c r="H20" s="64"/>
      <c r="I20" s="64"/>
      <c r="J20" s="64"/>
      <c r="K20" s="64"/>
      <c r="L20" s="64"/>
      <c r="M20" s="65"/>
      <c r="N20" s="65"/>
      <c r="O20" s="65"/>
      <c r="P20" s="65"/>
      <c r="Q20" s="65"/>
      <c r="R20" s="66"/>
      <c r="S20" s="65"/>
      <c r="T20" s="67"/>
      <c r="U20" s="117"/>
    </row>
    <row r="21" spans="2:25" ht="12.95" customHeight="1" x14ac:dyDescent="0.25">
      <c r="B21" s="63">
        <v>0.75</v>
      </c>
      <c r="C21" s="61"/>
      <c r="D21" s="70"/>
      <c r="E21" s="64"/>
      <c r="F21" s="61"/>
      <c r="G21" s="61"/>
      <c r="H21" s="64"/>
      <c r="I21" s="61"/>
      <c r="J21" s="61"/>
      <c r="K21" s="61"/>
      <c r="L21" s="64"/>
      <c r="M21" s="65"/>
      <c r="N21" s="65"/>
      <c r="O21" s="65"/>
      <c r="P21" s="65"/>
      <c r="Q21" s="65"/>
      <c r="R21" s="66"/>
      <c r="S21" s="65"/>
      <c r="T21" s="67"/>
      <c r="U21" s="117"/>
    </row>
    <row r="22" spans="2:25" ht="12.95" customHeight="1" x14ac:dyDescent="0.25">
      <c r="B22" s="63">
        <v>0.79166666666666696</v>
      </c>
      <c r="C22" s="64"/>
      <c r="D22" s="70"/>
      <c r="E22" s="64"/>
      <c r="F22" s="64"/>
      <c r="G22" s="64"/>
      <c r="H22" s="64"/>
      <c r="I22" s="64"/>
      <c r="J22" s="64"/>
      <c r="K22" s="64"/>
      <c r="L22" s="64"/>
      <c r="M22" s="65"/>
      <c r="N22" s="65"/>
      <c r="O22" s="65"/>
      <c r="P22" s="65"/>
      <c r="Q22" s="65"/>
      <c r="R22" s="66"/>
      <c r="S22" s="65"/>
      <c r="T22" s="67"/>
      <c r="U22" s="117"/>
    </row>
    <row r="23" spans="2:25" ht="12.95" customHeight="1" x14ac:dyDescent="0.25">
      <c r="B23" s="63">
        <v>0.83333333333333304</v>
      </c>
      <c r="C23" s="64"/>
      <c r="D23" s="70"/>
      <c r="E23" s="64"/>
      <c r="F23" s="64"/>
      <c r="G23" s="64"/>
      <c r="H23" s="64"/>
      <c r="I23" s="64"/>
      <c r="J23" s="64"/>
      <c r="K23" s="64"/>
      <c r="L23" s="64"/>
      <c r="M23" s="65"/>
      <c r="N23" s="65"/>
      <c r="O23" s="65"/>
      <c r="P23" s="65"/>
      <c r="Q23" s="65"/>
      <c r="R23" s="66"/>
      <c r="S23" s="65"/>
      <c r="T23" s="67"/>
      <c r="U23" s="117"/>
      <c r="Y23" s="62" t="s">
        <v>254</v>
      </c>
    </row>
    <row r="24" spans="2:25" ht="12.95" customHeight="1" x14ac:dyDescent="0.25">
      <c r="B24" s="63">
        <v>0.875</v>
      </c>
      <c r="C24" s="64"/>
      <c r="D24" s="70"/>
      <c r="E24" s="64"/>
      <c r="F24" s="64"/>
      <c r="G24" s="64"/>
      <c r="H24" s="64"/>
      <c r="I24" s="64"/>
      <c r="J24" s="64"/>
      <c r="K24" s="64"/>
      <c r="L24" s="64"/>
      <c r="M24" s="65"/>
      <c r="N24" s="65"/>
      <c r="O24" s="65"/>
      <c r="P24" s="65"/>
      <c r="Q24" s="65"/>
      <c r="R24" s="66"/>
      <c r="S24" s="65"/>
      <c r="T24" s="67"/>
      <c r="U24" s="117"/>
    </row>
    <row r="25" spans="2:25" ht="12.95" customHeight="1" x14ac:dyDescent="0.25">
      <c r="B25" s="63">
        <v>0.91666666666666696</v>
      </c>
      <c r="C25" s="64"/>
      <c r="D25" s="70"/>
      <c r="E25" s="64"/>
      <c r="F25" s="64"/>
      <c r="G25" s="64"/>
      <c r="H25" s="64"/>
      <c r="I25" s="64"/>
      <c r="J25" s="64"/>
      <c r="K25" s="64"/>
      <c r="L25" s="64"/>
      <c r="M25" s="65"/>
      <c r="N25" s="65"/>
      <c r="O25" s="65"/>
      <c r="P25" s="65"/>
      <c r="Q25" s="65"/>
      <c r="R25" s="66"/>
      <c r="S25" s="65"/>
      <c r="T25" s="67"/>
      <c r="U25" s="117"/>
    </row>
    <row r="26" spans="2:25" ht="12.95" customHeight="1" x14ac:dyDescent="0.25">
      <c r="B26" s="63">
        <v>0.95833333333333304</v>
      </c>
      <c r="C26" s="64"/>
      <c r="D26" s="147"/>
      <c r="E26" s="64"/>
      <c r="F26" s="64"/>
      <c r="G26" s="64"/>
      <c r="H26" s="64"/>
      <c r="I26" s="64"/>
      <c r="J26" s="64"/>
      <c r="K26" s="64"/>
      <c r="L26" s="64"/>
      <c r="M26" s="65"/>
      <c r="N26" s="65"/>
      <c r="O26" s="65"/>
      <c r="P26" s="65"/>
      <c r="Q26" s="65"/>
      <c r="R26" s="66"/>
      <c r="S26" s="65"/>
      <c r="T26" s="67"/>
      <c r="U26" s="148"/>
    </row>
    <row r="27" spans="2:25" x14ac:dyDescent="0.25">
      <c r="B27" s="144" t="s">
        <v>18</v>
      </c>
      <c r="C27" s="204" t="str">
        <f>IFERROR(AVERAGE(C3:C26),"Empty")</f>
        <v>Empty</v>
      </c>
      <c r="D27" s="146" t="str">
        <f t="shared" ref="D27:U27" si="0">IFERROR(AVERAGE(D3:D26),"Empty")</f>
        <v>Empty</v>
      </c>
      <c r="E27" s="146" t="str">
        <f t="shared" si="0"/>
        <v>Empty</v>
      </c>
      <c r="F27" s="146" t="str">
        <f t="shared" si="0"/>
        <v>Empty</v>
      </c>
      <c r="G27" s="146" t="str">
        <f t="shared" si="0"/>
        <v>Empty</v>
      </c>
      <c r="H27" s="204" t="str">
        <f t="shared" si="0"/>
        <v>Empty</v>
      </c>
      <c r="I27" s="146" t="s">
        <v>19</v>
      </c>
      <c r="J27" s="146" t="s">
        <v>19</v>
      </c>
      <c r="K27" s="146" t="s">
        <v>19</v>
      </c>
      <c r="L27" s="146" t="str">
        <f t="shared" si="0"/>
        <v>Empty</v>
      </c>
      <c r="M27" s="146" t="str">
        <f t="shared" si="0"/>
        <v>Empty</v>
      </c>
      <c r="N27" s="146" t="str">
        <f t="shared" si="0"/>
        <v>Empty</v>
      </c>
      <c r="O27" s="146" t="str">
        <f t="shared" si="0"/>
        <v>Empty</v>
      </c>
      <c r="P27" s="146" t="str">
        <f t="shared" si="0"/>
        <v>Empty</v>
      </c>
      <c r="Q27" s="146" t="str">
        <f t="shared" si="0"/>
        <v>Empty</v>
      </c>
      <c r="R27" s="146" t="str">
        <f t="shared" si="0"/>
        <v>Empty</v>
      </c>
      <c r="S27" s="146" t="str">
        <f t="shared" si="0"/>
        <v>Empty</v>
      </c>
      <c r="T27" s="164" t="str">
        <f t="shared" si="0"/>
        <v>Empty</v>
      </c>
      <c r="U27" s="146" t="str">
        <f t="shared" si="0"/>
        <v>Empty</v>
      </c>
    </row>
    <row r="28" spans="2:25" x14ac:dyDescent="0.25">
      <c r="B28" s="145" t="s">
        <v>20</v>
      </c>
      <c r="C28" s="204">
        <f>MAX(C3:C26)</f>
        <v>0</v>
      </c>
      <c r="D28" s="146">
        <f>MAX(D3:D26)</f>
        <v>0</v>
      </c>
      <c r="E28" s="146">
        <f t="shared" ref="E28:T28" si="1">MAX(E3:E26)</f>
        <v>0</v>
      </c>
      <c r="F28" s="146">
        <f t="shared" si="1"/>
        <v>0</v>
      </c>
      <c r="G28" s="146">
        <f t="shared" si="1"/>
        <v>0</v>
      </c>
      <c r="H28" s="146">
        <f t="shared" si="1"/>
        <v>0</v>
      </c>
      <c r="I28" s="146"/>
      <c r="J28" s="146"/>
      <c r="K28" s="146">
        <f t="shared" si="1"/>
        <v>0</v>
      </c>
      <c r="L28" s="146">
        <f t="shared" si="1"/>
        <v>0</v>
      </c>
      <c r="M28" s="146">
        <f t="shared" si="1"/>
        <v>0</v>
      </c>
      <c r="N28" s="146">
        <f t="shared" si="1"/>
        <v>0</v>
      </c>
      <c r="O28" s="146">
        <f t="shared" si="1"/>
        <v>0</v>
      </c>
      <c r="P28" s="146">
        <f t="shared" si="1"/>
        <v>0</v>
      </c>
      <c r="Q28" s="204">
        <f t="shared" si="1"/>
        <v>0</v>
      </c>
      <c r="R28" s="146">
        <f t="shared" si="1"/>
        <v>0</v>
      </c>
      <c r="S28" s="146">
        <f t="shared" si="1"/>
        <v>0</v>
      </c>
      <c r="T28" s="164">
        <f t="shared" si="1"/>
        <v>0</v>
      </c>
      <c r="U28" s="146">
        <f>MAX(U3:U26)</f>
        <v>0</v>
      </c>
    </row>
    <row r="29" spans="2:25" x14ac:dyDescent="0.25">
      <c r="B29" s="145" t="s">
        <v>21</v>
      </c>
      <c r="C29" s="146">
        <f>MIN(C3:C26)</f>
        <v>0</v>
      </c>
      <c r="D29" s="191">
        <f>MIN(D3:D26)</f>
        <v>0</v>
      </c>
      <c r="E29" s="146">
        <f t="shared" ref="E29:T29" si="2">MIN(E3:E26)</f>
        <v>0</v>
      </c>
      <c r="F29" s="146">
        <f t="shared" si="2"/>
        <v>0</v>
      </c>
      <c r="G29" s="146">
        <f t="shared" si="2"/>
        <v>0</v>
      </c>
      <c r="H29" s="146">
        <f t="shared" si="2"/>
        <v>0</v>
      </c>
      <c r="I29" s="146"/>
      <c r="J29" s="146"/>
      <c r="K29" s="146">
        <f t="shared" si="2"/>
        <v>0</v>
      </c>
      <c r="L29" s="146">
        <f t="shared" si="2"/>
        <v>0</v>
      </c>
      <c r="M29" s="146">
        <f t="shared" si="2"/>
        <v>0</v>
      </c>
      <c r="N29" s="146">
        <f t="shared" si="2"/>
        <v>0</v>
      </c>
      <c r="O29" s="146">
        <f t="shared" si="2"/>
        <v>0</v>
      </c>
      <c r="P29" s="146">
        <f t="shared" si="2"/>
        <v>0</v>
      </c>
      <c r="Q29" s="146">
        <f t="shared" si="2"/>
        <v>0</v>
      </c>
      <c r="R29" s="191">
        <f t="shared" si="2"/>
        <v>0</v>
      </c>
      <c r="S29" s="191">
        <f t="shared" si="2"/>
        <v>0</v>
      </c>
      <c r="T29" s="192">
        <f t="shared" si="2"/>
        <v>0</v>
      </c>
      <c r="U29" s="191">
        <f>MIN(U3:U26)</f>
        <v>0</v>
      </c>
    </row>
    <row r="30" spans="2:25" x14ac:dyDescent="0.25">
      <c r="B30" s="163" t="s">
        <v>22</v>
      </c>
      <c r="C30" s="164"/>
      <c r="D30" s="19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206">
        <f t="shared" ref="Q30" si="3">SUM(Q$3:Q$26)</f>
        <v>0</v>
      </c>
      <c r="R30" s="193"/>
      <c r="S30" s="194"/>
      <c r="T30" s="194"/>
      <c r="U30" s="196"/>
    </row>
    <row r="35" spans="8:8" x14ac:dyDescent="0.25">
      <c r="H35" s="70"/>
    </row>
  </sheetData>
  <phoneticPr fontId="5" type="noConversion"/>
  <pageMargins left="0.75" right="0.75" top="1" bottom="1" header="0.5" footer="0.5"/>
  <pageSetup paperSize="5" scale="81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O33"/>
  <sheetViews>
    <sheetView topLeftCell="A3" zoomScale="80" zoomScaleNormal="80" zoomScaleSheetLayoutView="130" workbookViewId="0">
      <selection activeCell="F32" sqref="F32"/>
    </sheetView>
  </sheetViews>
  <sheetFormatPr defaultColWidth="5.5703125" defaultRowHeight="15" x14ac:dyDescent="0.25"/>
  <cols>
    <col min="1" max="1" width="3.5703125" style="36" customWidth="1"/>
    <col min="2" max="2" width="11.85546875" style="36" customWidth="1"/>
    <col min="3" max="9" width="7.7109375" style="36" customWidth="1"/>
    <col min="10" max="10" width="2.28515625" style="36" customWidth="1"/>
    <col min="11" max="13" width="7.7109375" style="36" customWidth="1"/>
    <col min="14" max="14" width="5.7109375" style="36" customWidth="1"/>
    <col min="15" max="17" width="7.7109375" style="36" customWidth="1"/>
    <col min="18" max="18" width="2.140625" style="36" customWidth="1"/>
    <col min="19" max="22" width="7.7109375" style="36" customWidth="1"/>
    <col min="23" max="23" width="2" style="36" customWidth="1"/>
    <col min="24" max="27" width="7.7109375" style="36" customWidth="1"/>
    <col min="28" max="28" width="2.140625" style="36" customWidth="1"/>
    <col min="29" max="29" width="7.85546875" style="36" customWidth="1"/>
    <col min="30" max="32" width="7.7109375" style="36" customWidth="1"/>
    <col min="33" max="33" width="1.85546875" style="36" customWidth="1"/>
    <col min="34" max="37" width="7.7109375" style="36" customWidth="1"/>
    <col min="38" max="38" width="8.42578125" style="36" customWidth="1"/>
    <col min="39" max="255" width="9.140625" style="36" customWidth="1"/>
    <col min="256" max="256" width="5.28515625" style="36" customWidth="1"/>
    <col min="257" max="16384" width="5.5703125" style="36"/>
  </cols>
  <sheetData>
    <row r="1" spans="2:39" ht="15.75" thickBot="1" x14ac:dyDescent="0.3"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</row>
    <row r="2" spans="2:39" ht="15.75" thickBot="1" x14ac:dyDescent="0.3">
      <c r="B2" s="217"/>
      <c r="C2" s="224" t="s">
        <v>23</v>
      </c>
      <c r="D2" s="225"/>
      <c r="E2" s="225"/>
      <c r="F2" s="225"/>
      <c r="G2" s="225"/>
      <c r="H2" s="225"/>
      <c r="I2" s="226"/>
      <c r="J2" s="104"/>
      <c r="K2" s="224" t="s">
        <v>24</v>
      </c>
      <c r="L2" s="225"/>
      <c r="M2" s="225"/>
      <c r="N2" s="225"/>
      <c r="O2" s="225"/>
      <c r="P2" s="225"/>
      <c r="Q2" s="226"/>
      <c r="R2" s="104"/>
      <c r="S2" s="224" t="s">
        <v>25</v>
      </c>
      <c r="T2" s="225"/>
      <c r="U2" s="225"/>
      <c r="V2" s="226"/>
      <c r="W2" s="104"/>
      <c r="X2" s="224" t="s">
        <v>26</v>
      </c>
      <c r="Y2" s="225"/>
      <c r="Z2" s="225"/>
      <c r="AA2" s="226"/>
      <c r="AB2" s="104"/>
      <c r="AC2" s="224" t="s">
        <v>27</v>
      </c>
      <c r="AD2" s="225"/>
      <c r="AE2" s="225"/>
      <c r="AF2" s="226"/>
      <c r="AG2" s="104"/>
      <c r="AH2" s="224" t="s">
        <v>28</v>
      </c>
      <c r="AI2" s="225"/>
      <c r="AJ2" s="225"/>
      <c r="AK2" s="226"/>
    </row>
    <row r="3" spans="2:39" ht="15.75" thickBot="1" x14ac:dyDescent="0.3">
      <c r="B3" s="218" t="s">
        <v>0</v>
      </c>
      <c r="C3" s="37">
        <v>2</v>
      </c>
      <c r="D3" s="38">
        <v>4</v>
      </c>
      <c r="E3" s="39">
        <v>6</v>
      </c>
      <c r="F3" s="39">
        <v>8</v>
      </c>
      <c r="G3" s="39">
        <v>10</v>
      </c>
      <c r="H3" s="39">
        <v>12</v>
      </c>
      <c r="I3" s="40">
        <v>14</v>
      </c>
      <c r="J3" s="104"/>
      <c r="K3" s="41">
        <v>2</v>
      </c>
      <c r="L3" s="42">
        <v>4</v>
      </c>
      <c r="M3" s="42">
        <v>6</v>
      </c>
      <c r="N3" s="42">
        <v>8</v>
      </c>
      <c r="O3" s="42">
        <v>10</v>
      </c>
      <c r="P3" s="42">
        <v>12</v>
      </c>
      <c r="Q3" s="43">
        <v>14</v>
      </c>
      <c r="R3" s="104"/>
      <c r="S3" s="41">
        <v>1</v>
      </c>
      <c r="T3" s="42">
        <v>2</v>
      </c>
      <c r="U3" s="42">
        <v>3</v>
      </c>
      <c r="V3" s="43">
        <v>4</v>
      </c>
      <c r="W3" s="104"/>
      <c r="X3" s="41">
        <v>1</v>
      </c>
      <c r="Y3" s="42">
        <v>2</v>
      </c>
      <c r="Z3" s="42">
        <v>3</v>
      </c>
      <c r="AA3" s="43">
        <v>4</v>
      </c>
      <c r="AB3" s="104"/>
      <c r="AC3" s="41">
        <v>1</v>
      </c>
      <c r="AD3" s="42">
        <v>2</v>
      </c>
      <c r="AE3" s="42">
        <v>3</v>
      </c>
      <c r="AF3" s="43">
        <v>4</v>
      </c>
      <c r="AG3" s="104"/>
      <c r="AH3" s="41">
        <v>1</v>
      </c>
      <c r="AI3" s="42">
        <v>2</v>
      </c>
      <c r="AJ3" s="42">
        <v>3</v>
      </c>
      <c r="AK3" s="43">
        <v>4</v>
      </c>
    </row>
    <row r="4" spans="2:39" x14ac:dyDescent="0.25">
      <c r="B4" s="219">
        <v>0</v>
      </c>
      <c r="C4" s="44"/>
      <c r="D4" s="45"/>
      <c r="E4" s="45"/>
      <c r="F4" s="45"/>
      <c r="G4" s="45"/>
      <c r="H4" s="45"/>
      <c r="I4" s="46"/>
      <c r="J4" s="47"/>
      <c r="K4" s="44"/>
      <c r="L4" s="45"/>
      <c r="M4" s="45"/>
      <c r="N4" s="45"/>
      <c r="O4" s="45"/>
      <c r="P4" s="45"/>
      <c r="Q4" s="46"/>
      <c r="R4" s="47"/>
      <c r="S4" s="48"/>
      <c r="T4" s="49"/>
      <c r="U4" s="49"/>
      <c r="V4" s="50"/>
      <c r="W4" s="47"/>
      <c r="X4" s="48"/>
      <c r="Y4" s="49"/>
      <c r="Z4" s="49"/>
      <c r="AA4" s="103"/>
      <c r="AB4" s="47"/>
      <c r="AC4" s="48"/>
      <c r="AD4" s="49"/>
      <c r="AE4" s="49"/>
      <c r="AF4" s="50"/>
      <c r="AG4" s="47"/>
      <c r="AH4" s="44"/>
      <c r="AI4" s="49"/>
      <c r="AJ4" s="45"/>
      <c r="AK4" s="46"/>
      <c r="AL4" s="51"/>
      <c r="AM4" s="52"/>
    </row>
    <row r="5" spans="2:39" x14ac:dyDescent="0.25">
      <c r="B5" s="220">
        <v>4.1666666666666664E-2</v>
      </c>
      <c r="C5" s="44"/>
      <c r="D5" s="45"/>
      <c r="E5" s="45"/>
      <c r="F5" s="45"/>
      <c r="G5" s="45"/>
      <c r="H5" s="45"/>
      <c r="I5" s="46"/>
      <c r="J5" s="47"/>
      <c r="K5" s="44"/>
      <c r="L5" s="45"/>
      <c r="M5" s="45"/>
      <c r="N5" s="45"/>
      <c r="O5" s="45"/>
      <c r="P5" s="45"/>
      <c r="Q5" s="46"/>
      <c r="R5" s="47"/>
      <c r="S5" s="48"/>
      <c r="T5" s="49"/>
      <c r="U5" s="49"/>
      <c r="V5" s="50"/>
      <c r="W5" s="47"/>
      <c r="X5" s="48"/>
      <c r="Y5" s="49"/>
      <c r="Z5" s="49"/>
      <c r="AA5" s="103"/>
      <c r="AB5" s="47"/>
      <c r="AC5" s="48"/>
      <c r="AD5" s="49"/>
      <c r="AE5" s="49"/>
      <c r="AF5" s="50"/>
      <c r="AG5" s="47"/>
      <c r="AH5" s="44"/>
      <c r="AI5" s="49"/>
      <c r="AJ5" s="45"/>
      <c r="AK5" s="46"/>
      <c r="AL5" s="51"/>
      <c r="AM5" s="52"/>
    </row>
    <row r="6" spans="2:39" x14ac:dyDescent="0.25">
      <c r="B6" s="220">
        <v>8.3333333333333301E-2</v>
      </c>
      <c r="C6" s="44"/>
      <c r="D6" s="45"/>
      <c r="E6" s="45"/>
      <c r="F6" s="45"/>
      <c r="G6" s="45"/>
      <c r="H6" s="45"/>
      <c r="I6" s="46"/>
      <c r="J6" s="47"/>
      <c r="K6" s="44"/>
      <c r="L6" s="45"/>
      <c r="M6" s="45"/>
      <c r="N6" s="45"/>
      <c r="O6" s="45"/>
      <c r="P6" s="45"/>
      <c r="Q6" s="46"/>
      <c r="R6" s="47"/>
      <c r="S6" s="48"/>
      <c r="T6" s="49"/>
      <c r="U6" s="49"/>
      <c r="V6" s="50"/>
      <c r="W6" s="47"/>
      <c r="X6" s="48"/>
      <c r="Y6" s="49"/>
      <c r="Z6" s="49"/>
      <c r="AA6" s="103"/>
      <c r="AB6" s="47"/>
      <c r="AC6" s="48"/>
      <c r="AD6" s="49"/>
      <c r="AE6" s="49"/>
      <c r="AF6" s="50"/>
      <c r="AG6" s="47"/>
      <c r="AH6" s="44"/>
      <c r="AI6" s="49"/>
      <c r="AJ6" s="45"/>
      <c r="AK6" s="46"/>
      <c r="AL6" s="53"/>
      <c r="AM6" s="52"/>
    </row>
    <row r="7" spans="2:39" x14ac:dyDescent="0.25">
      <c r="B7" s="220">
        <v>0.125</v>
      </c>
      <c r="C7" s="44"/>
      <c r="D7" s="45"/>
      <c r="E7" s="45"/>
      <c r="F7" s="45"/>
      <c r="G7" s="45"/>
      <c r="H7" s="45"/>
      <c r="I7" s="46"/>
      <c r="J7" s="47"/>
      <c r="K7" s="44"/>
      <c r="L7" s="45"/>
      <c r="M7" s="45"/>
      <c r="N7" s="45"/>
      <c r="O7" s="45"/>
      <c r="P7" s="45"/>
      <c r="Q7" s="46"/>
      <c r="R7" s="47"/>
      <c r="S7" s="48"/>
      <c r="T7" s="49"/>
      <c r="U7" s="49"/>
      <c r="V7" s="50"/>
      <c r="W7" s="47"/>
      <c r="X7" s="48"/>
      <c r="Y7" s="49"/>
      <c r="Z7" s="49"/>
      <c r="AA7" s="50"/>
      <c r="AB7" s="47"/>
      <c r="AC7" s="48"/>
      <c r="AD7" s="49"/>
      <c r="AE7" s="49"/>
      <c r="AF7" s="50"/>
      <c r="AG7" s="47"/>
      <c r="AH7" s="44"/>
      <c r="AI7" s="49"/>
      <c r="AJ7" s="45"/>
      <c r="AK7" s="46"/>
      <c r="AL7" s="51"/>
      <c r="AM7" s="52"/>
    </row>
    <row r="8" spans="2:39" x14ac:dyDescent="0.25">
      <c r="B8" s="220">
        <v>0.16666666666666699</v>
      </c>
      <c r="C8" s="44"/>
      <c r="D8" s="45"/>
      <c r="E8" s="45"/>
      <c r="F8" s="45"/>
      <c r="G8" s="45"/>
      <c r="H8" s="45"/>
      <c r="I8" s="46"/>
      <c r="J8" s="47"/>
      <c r="K8" s="44"/>
      <c r="L8" s="45"/>
      <c r="M8" s="45"/>
      <c r="N8" s="45"/>
      <c r="O8" s="45"/>
      <c r="P8" s="45"/>
      <c r="Q8" s="46"/>
      <c r="R8" s="47"/>
      <c r="S8" s="48"/>
      <c r="T8" s="49"/>
      <c r="U8" s="49"/>
      <c r="V8" s="50"/>
      <c r="W8" s="47"/>
      <c r="X8" s="48"/>
      <c r="Y8" s="49"/>
      <c r="Z8" s="49"/>
      <c r="AA8" s="50"/>
      <c r="AB8" s="47"/>
      <c r="AC8" s="48"/>
      <c r="AD8" s="49"/>
      <c r="AE8" s="49"/>
      <c r="AF8" s="50"/>
      <c r="AG8" s="47"/>
      <c r="AH8" s="44"/>
      <c r="AI8" s="49"/>
      <c r="AJ8" s="45"/>
      <c r="AK8" s="46"/>
      <c r="AL8" s="51"/>
      <c r="AM8" s="52"/>
    </row>
    <row r="9" spans="2:39" x14ac:dyDescent="0.25">
      <c r="B9" s="220">
        <v>0.20833333333333301</v>
      </c>
      <c r="C9" s="44"/>
      <c r="D9" s="45"/>
      <c r="E9" s="45"/>
      <c r="F9" s="45"/>
      <c r="G9" s="45"/>
      <c r="H9" s="45"/>
      <c r="I9" s="46"/>
      <c r="J9" s="47"/>
      <c r="K9" s="44"/>
      <c r="L9" s="45"/>
      <c r="M9" s="45"/>
      <c r="N9" s="45"/>
      <c r="O9" s="45"/>
      <c r="P9" s="45"/>
      <c r="Q9" s="46"/>
      <c r="R9" s="47"/>
      <c r="S9" s="48"/>
      <c r="T9" s="49"/>
      <c r="U9" s="49"/>
      <c r="V9" s="50"/>
      <c r="W9" s="47"/>
      <c r="X9" s="48"/>
      <c r="Y9" s="49"/>
      <c r="Z9" s="49"/>
      <c r="AA9" s="50"/>
      <c r="AB9" s="47"/>
      <c r="AC9" s="48"/>
      <c r="AD9" s="49"/>
      <c r="AE9" s="49"/>
      <c r="AF9" s="50"/>
      <c r="AG9" s="47"/>
      <c r="AH9" s="44"/>
      <c r="AI9" s="49"/>
      <c r="AJ9" s="45"/>
      <c r="AK9" s="46"/>
      <c r="AL9" s="51"/>
      <c r="AM9" s="52"/>
    </row>
    <row r="10" spans="2:39" x14ac:dyDescent="0.25">
      <c r="B10" s="220">
        <v>0.25</v>
      </c>
      <c r="C10" s="44"/>
      <c r="D10" s="45"/>
      <c r="E10" s="45"/>
      <c r="F10" s="45"/>
      <c r="G10" s="45"/>
      <c r="H10" s="45"/>
      <c r="I10" s="46"/>
      <c r="J10" s="47"/>
      <c r="K10" s="44"/>
      <c r="L10" s="45"/>
      <c r="M10" s="45"/>
      <c r="N10" s="45"/>
      <c r="O10" s="45"/>
      <c r="P10" s="45"/>
      <c r="Q10" s="46"/>
      <c r="R10" s="47"/>
      <c r="S10" s="48"/>
      <c r="T10" s="49"/>
      <c r="U10" s="49"/>
      <c r="V10" s="50"/>
      <c r="W10" s="47"/>
      <c r="X10" s="48"/>
      <c r="Y10" s="49"/>
      <c r="Z10" s="49"/>
      <c r="AA10" s="50"/>
      <c r="AB10" s="47"/>
      <c r="AC10" s="48"/>
      <c r="AD10" s="49"/>
      <c r="AE10" s="49"/>
      <c r="AF10" s="50"/>
      <c r="AG10" s="47"/>
      <c r="AH10" s="44"/>
      <c r="AI10" s="49"/>
      <c r="AJ10" s="45"/>
      <c r="AK10" s="46"/>
      <c r="AL10" s="51"/>
      <c r="AM10" s="52"/>
    </row>
    <row r="11" spans="2:39" x14ac:dyDescent="0.25">
      <c r="B11" s="220">
        <v>0.29166666666666702</v>
      </c>
      <c r="C11" s="44"/>
      <c r="D11" s="45"/>
      <c r="E11" s="45"/>
      <c r="F11" s="45"/>
      <c r="G11" s="45"/>
      <c r="H11" s="45"/>
      <c r="I11" s="46"/>
      <c r="J11" s="47"/>
      <c r="K11" s="44"/>
      <c r="L11" s="45"/>
      <c r="M11" s="45"/>
      <c r="N11" s="45"/>
      <c r="O11" s="45"/>
      <c r="P11" s="45"/>
      <c r="Q11" s="46"/>
      <c r="R11" s="47"/>
      <c r="S11" s="48"/>
      <c r="T11" s="49"/>
      <c r="U11" s="49"/>
      <c r="V11" s="50"/>
      <c r="W11" s="47"/>
      <c r="X11" s="48"/>
      <c r="Y11" s="49"/>
      <c r="Z11" s="49"/>
      <c r="AA11" s="50"/>
      <c r="AB11" s="47"/>
      <c r="AC11" s="48"/>
      <c r="AD11" s="49"/>
      <c r="AE11" s="49"/>
      <c r="AF11" s="50"/>
      <c r="AG11" s="47"/>
      <c r="AH11" s="44"/>
      <c r="AI11" s="49"/>
      <c r="AJ11" s="45"/>
      <c r="AK11" s="46"/>
      <c r="AL11" s="51"/>
      <c r="AM11" s="52"/>
    </row>
    <row r="12" spans="2:39" x14ac:dyDescent="0.25">
      <c r="B12" s="220">
        <v>0.33333333333333298</v>
      </c>
      <c r="C12" s="44"/>
      <c r="D12" s="45"/>
      <c r="E12" s="45"/>
      <c r="F12" s="45"/>
      <c r="G12" s="45"/>
      <c r="H12" s="45"/>
      <c r="I12" s="46"/>
      <c r="J12" s="47"/>
      <c r="K12" s="44"/>
      <c r="L12" s="45"/>
      <c r="M12" s="45"/>
      <c r="N12" s="45"/>
      <c r="O12" s="45"/>
      <c r="P12" s="45"/>
      <c r="Q12" s="46"/>
      <c r="R12" s="47"/>
      <c r="S12" s="48"/>
      <c r="T12" s="49"/>
      <c r="U12" s="49"/>
      <c r="V12" s="50"/>
      <c r="W12" s="47"/>
      <c r="X12" s="48"/>
      <c r="Y12" s="49"/>
      <c r="Z12" s="49"/>
      <c r="AA12" s="50"/>
      <c r="AB12" s="47"/>
      <c r="AC12" s="48"/>
      <c r="AD12" s="49"/>
      <c r="AE12" s="49"/>
      <c r="AF12" s="50"/>
      <c r="AG12" s="47"/>
      <c r="AH12" s="44"/>
      <c r="AI12" s="49"/>
      <c r="AJ12" s="45"/>
      <c r="AK12" s="46"/>
      <c r="AL12" s="51"/>
      <c r="AM12" s="52"/>
    </row>
    <row r="13" spans="2:39" x14ac:dyDescent="0.25">
      <c r="B13" s="220">
        <v>0.375</v>
      </c>
      <c r="C13" s="44"/>
      <c r="D13" s="45"/>
      <c r="E13" s="45"/>
      <c r="F13" s="45"/>
      <c r="G13" s="45"/>
      <c r="H13" s="45"/>
      <c r="I13" s="46"/>
      <c r="J13" s="47"/>
      <c r="K13" s="44"/>
      <c r="L13" s="45"/>
      <c r="M13" s="45"/>
      <c r="N13" s="45"/>
      <c r="O13" s="45"/>
      <c r="P13" s="45"/>
      <c r="Q13" s="46"/>
      <c r="R13" s="47"/>
      <c r="S13" s="48"/>
      <c r="T13" s="49"/>
      <c r="U13" s="49"/>
      <c r="V13" s="50"/>
      <c r="W13" s="47"/>
      <c r="X13" s="48"/>
      <c r="Y13" s="49"/>
      <c r="Z13" s="49"/>
      <c r="AA13" s="50"/>
      <c r="AB13" s="47"/>
      <c r="AC13" s="48"/>
      <c r="AD13" s="49"/>
      <c r="AE13" s="49"/>
      <c r="AF13" s="50"/>
      <c r="AG13" s="47"/>
      <c r="AH13" s="44"/>
      <c r="AI13" s="49"/>
      <c r="AJ13" s="45"/>
      <c r="AK13" s="46"/>
      <c r="AL13" s="51"/>
      <c r="AM13" s="52"/>
    </row>
    <row r="14" spans="2:39" x14ac:dyDescent="0.25">
      <c r="B14" s="220">
        <v>0.41666666666666702</v>
      </c>
      <c r="C14" s="44"/>
      <c r="D14" s="45"/>
      <c r="E14" s="45"/>
      <c r="F14" s="45"/>
      <c r="G14" s="45"/>
      <c r="H14" s="45"/>
      <c r="I14" s="46"/>
      <c r="J14" s="47"/>
      <c r="K14" s="44"/>
      <c r="L14" s="45"/>
      <c r="M14" s="45"/>
      <c r="N14" s="45"/>
      <c r="O14" s="45"/>
      <c r="P14" s="45"/>
      <c r="Q14" s="46"/>
      <c r="R14" s="47"/>
      <c r="S14" s="48"/>
      <c r="T14" s="49"/>
      <c r="U14" s="49"/>
      <c r="V14" s="50"/>
      <c r="W14" s="47"/>
      <c r="X14" s="48"/>
      <c r="Y14" s="49"/>
      <c r="Z14" s="49"/>
      <c r="AA14" s="50"/>
      <c r="AB14" s="47"/>
      <c r="AC14" s="48"/>
      <c r="AD14" s="49"/>
      <c r="AE14" s="49"/>
      <c r="AF14" s="50"/>
      <c r="AG14" s="47"/>
      <c r="AH14" s="44"/>
      <c r="AI14" s="49"/>
      <c r="AJ14" s="45"/>
      <c r="AK14" s="46"/>
      <c r="AL14" s="51"/>
      <c r="AM14" s="52"/>
    </row>
    <row r="15" spans="2:39" x14ac:dyDescent="0.25">
      <c r="B15" s="220">
        <v>0.45833333333333331</v>
      </c>
      <c r="C15" s="44"/>
      <c r="D15" s="45"/>
      <c r="E15" s="45"/>
      <c r="F15" s="45"/>
      <c r="G15" s="45"/>
      <c r="H15" s="45"/>
      <c r="I15" s="46"/>
      <c r="J15" s="47"/>
      <c r="K15" s="44"/>
      <c r="L15" s="45"/>
      <c r="M15" s="45"/>
      <c r="N15" s="45"/>
      <c r="O15" s="45"/>
      <c r="P15" s="45"/>
      <c r="Q15" s="46"/>
      <c r="R15" s="47"/>
      <c r="S15" s="48"/>
      <c r="T15" s="49"/>
      <c r="U15" s="49"/>
      <c r="V15" s="50"/>
      <c r="W15" s="47"/>
      <c r="X15" s="48"/>
      <c r="Y15" s="49"/>
      <c r="Z15" s="49"/>
      <c r="AA15" s="50"/>
      <c r="AB15" s="47"/>
      <c r="AC15" s="48"/>
      <c r="AD15" s="49"/>
      <c r="AE15" s="49"/>
      <c r="AF15" s="50"/>
      <c r="AG15" s="47"/>
      <c r="AH15" s="44"/>
      <c r="AI15" s="49"/>
      <c r="AJ15" s="45"/>
      <c r="AK15" s="46"/>
      <c r="AL15" s="51"/>
      <c r="AM15" s="52"/>
    </row>
    <row r="16" spans="2:39" x14ac:dyDescent="0.25">
      <c r="B16" s="220">
        <v>0.5</v>
      </c>
      <c r="C16" s="44"/>
      <c r="D16" s="45"/>
      <c r="E16" s="45"/>
      <c r="F16" s="45"/>
      <c r="G16" s="45"/>
      <c r="H16" s="45"/>
      <c r="I16" s="46"/>
      <c r="J16" s="47"/>
      <c r="K16" s="44"/>
      <c r="L16" s="45"/>
      <c r="M16" s="45"/>
      <c r="N16" s="45"/>
      <c r="O16" s="45"/>
      <c r="P16" s="45"/>
      <c r="Q16" s="46"/>
      <c r="R16" s="47"/>
      <c r="S16" s="48"/>
      <c r="T16" s="49"/>
      <c r="U16" s="49"/>
      <c r="V16" s="50"/>
      <c r="W16" s="47"/>
      <c r="X16" s="48"/>
      <c r="Y16" s="49"/>
      <c r="Z16" s="49"/>
      <c r="AA16" s="50"/>
      <c r="AB16" s="47"/>
      <c r="AC16" s="48"/>
      <c r="AD16" s="49"/>
      <c r="AE16" s="49"/>
      <c r="AF16" s="50"/>
      <c r="AG16" s="47"/>
      <c r="AH16" s="44"/>
      <c r="AI16" s="49"/>
      <c r="AJ16" s="45"/>
      <c r="AK16" s="46"/>
    </row>
    <row r="17" spans="2:41" x14ac:dyDescent="0.25">
      <c r="B17" s="220">
        <v>0.54166666666666696</v>
      </c>
      <c r="C17" s="44"/>
      <c r="D17" s="45"/>
      <c r="E17" s="45"/>
      <c r="F17" s="45"/>
      <c r="G17" s="45"/>
      <c r="H17" s="45"/>
      <c r="I17" s="46"/>
      <c r="J17" s="47"/>
      <c r="K17" s="44"/>
      <c r="L17" s="45"/>
      <c r="M17" s="45"/>
      <c r="N17" s="45"/>
      <c r="O17" s="45"/>
      <c r="P17" s="45"/>
      <c r="Q17" s="46"/>
      <c r="R17" s="47"/>
      <c r="S17" s="48"/>
      <c r="T17" s="49"/>
      <c r="U17" s="49"/>
      <c r="V17" s="50"/>
      <c r="W17" s="47"/>
      <c r="X17" s="48"/>
      <c r="Y17" s="49"/>
      <c r="Z17" s="49"/>
      <c r="AA17" s="50"/>
      <c r="AB17" s="47"/>
      <c r="AC17" s="48"/>
      <c r="AD17" s="49"/>
      <c r="AE17" s="49"/>
      <c r="AF17" s="50"/>
      <c r="AG17" s="47"/>
      <c r="AH17" s="44"/>
      <c r="AI17" s="49"/>
      <c r="AJ17" s="45"/>
      <c r="AK17" s="46"/>
    </row>
    <row r="18" spans="2:41" x14ac:dyDescent="0.25">
      <c r="B18" s="220">
        <v>0.58333333333333337</v>
      </c>
      <c r="C18" s="44"/>
      <c r="D18" s="45"/>
      <c r="E18" s="45"/>
      <c r="F18" s="45"/>
      <c r="G18" s="45"/>
      <c r="H18" s="45"/>
      <c r="I18" s="46"/>
      <c r="J18" s="47"/>
      <c r="K18" s="44"/>
      <c r="L18" s="45"/>
      <c r="M18" s="45"/>
      <c r="N18" s="45"/>
      <c r="O18" s="45"/>
      <c r="P18" s="45"/>
      <c r="Q18" s="46"/>
      <c r="R18" s="47"/>
      <c r="S18" s="48"/>
      <c r="T18" s="49"/>
      <c r="U18" s="49"/>
      <c r="V18" s="50"/>
      <c r="W18" s="47"/>
      <c r="X18" s="48"/>
      <c r="Y18" s="49"/>
      <c r="Z18" s="49"/>
      <c r="AA18" s="50"/>
      <c r="AB18" s="47"/>
      <c r="AC18" s="48"/>
      <c r="AD18" s="49"/>
      <c r="AE18" s="49"/>
      <c r="AF18" s="50"/>
      <c r="AG18" s="47"/>
      <c r="AH18" s="44"/>
      <c r="AI18" s="49"/>
      <c r="AJ18" s="45"/>
      <c r="AK18" s="46"/>
      <c r="AL18" s="51"/>
      <c r="AM18" s="52"/>
    </row>
    <row r="19" spans="2:41" x14ac:dyDescent="0.25">
      <c r="B19" s="220">
        <v>0.625</v>
      </c>
      <c r="C19" s="44"/>
      <c r="D19" s="45"/>
      <c r="E19" s="45"/>
      <c r="F19" s="45"/>
      <c r="G19" s="45"/>
      <c r="H19" s="45"/>
      <c r="I19" s="46"/>
      <c r="J19" s="47"/>
      <c r="K19" s="44"/>
      <c r="L19" s="45"/>
      <c r="M19" s="45"/>
      <c r="N19" s="45"/>
      <c r="O19" s="45"/>
      <c r="P19" s="45"/>
      <c r="Q19" s="46"/>
      <c r="R19" s="47"/>
      <c r="S19" s="48"/>
      <c r="T19" s="49"/>
      <c r="U19" s="49"/>
      <c r="V19" s="50"/>
      <c r="W19" s="47"/>
      <c r="X19" s="48"/>
      <c r="Y19" s="49"/>
      <c r="Z19" s="49"/>
      <c r="AA19" s="50"/>
      <c r="AB19" s="47"/>
      <c r="AC19" s="48"/>
      <c r="AD19" s="49"/>
      <c r="AE19" s="49"/>
      <c r="AF19" s="50"/>
      <c r="AG19" s="47"/>
      <c r="AH19" s="54"/>
      <c r="AI19" s="49"/>
      <c r="AJ19" s="45"/>
      <c r="AK19" s="55"/>
      <c r="AL19" s="56"/>
      <c r="AM19" s="56"/>
      <c r="AN19" s="56"/>
    </row>
    <row r="20" spans="2:41" x14ac:dyDescent="0.25">
      <c r="B20" s="220">
        <v>0.66666666666666696</v>
      </c>
      <c r="C20" s="44"/>
      <c r="D20" s="45"/>
      <c r="E20" s="45"/>
      <c r="F20" s="45"/>
      <c r="G20" s="45"/>
      <c r="H20" s="45"/>
      <c r="I20" s="46"/>
      <c r="J20" s="47"/>
      <c r="K20" s="44"/>
      <c r="L20" s="45"/>
      <c r="M20" s="45"/>
      <c r="N20" s="45"/>
      <c r="O20" s="45"/>
      <c r="P20" s="45"/>
      <c r="Q20" s="46"/>
      <c r="R20" s="47"/>
      <c r="S20" s="48"/>
      <c r="T20" s="49"/>
      <c r="U20" s="49"/>
      <c r="V20" s="50"/>
      <c r="W20" s="47"/>
      <c r="X20" s="48"/>
      <c r="Y20" s="49"/>
      <c r="Z20" s="49"/>
      <c r="AA20" s="50"/>
      <c r="AB20" s="47"/>
      <c r="AC20" s="48"/>
      <c r="AD20" s="49"/>
      <c r="AE20" s="49"/>
      <c r="AF20" s="50"/>
      <c r="AG20" s="47"/>
      <c r="AH20" s="54"/>
      <c r="AI20" s="49"/>
      <c r="AJ20" s="45"/>
      <c r="AK20" s="55"/>
    </row>
    <row r="21" spans="2:41" x14ac:dyDescent="0.25">
      <c r="B21" s="220">
        <v>0.70833333333333304</v>
      </c>
      <c r="C21" s="44"/>
      <c r="D21" s="45"/>
      <c r="E21" s="45"/>
      <c r="F21" s="45"/>
      <c r="G21" s="45"/>
      <c r="H21" s="45"/>
      <c r="I21" s="46"/>
      <c r="J21" s="47"/>
      <c r="K21" s="44"/>
      <c r="L21" s="45"/>
      <c r="M21" s="45"/>
      <c r="N21" s="45"/>
      <c r="O21" s="45"/>
      <c r="P21" s="45"/>
      <c r="Q21" s="46"/>
      <c r="R21" s="47"/>
      <c r="S21" s="48"/>
      <c r="T21" s="49"/>
      <c r="U21" s="49"/>
      <c r="V21" s="50"/>
      <c r="W21" s="47"/>
      <c r="X21" s="48"/>
      <c r="Y21" s="49"/>
      <c r="Z21" s="49"/>
      <c r="AA21" s="50"/>
      <c r="AB21" s="47"/>
      <c r="AC21" s="48"/>
      <c r="AD21" s="49"/>
      <c r="AE21" s="49"/>
      <c r="AF21" s="50"/>
      <c r="AG21" s="47"/>
      <c r="AH21" s="54"/>
      <c r="AI21" s="49"/>
      <c r="AJ21" s="45"/>
      <c r="AK21" s="55"/>
      <c r="AL21" s="56"/>
      <c r="AM21" s="56"/>
      <c r="AN21" s="56"/>
      <c r="AO21" s="56"/>
    </row>
    <row r="22" spans="2:41" x14ac:dyDescent="0.25">
      <c r="B22" s="220">
        <v>0.75</v>
      </c>
      <c r="C22" s="44"/>
      <c r="D22" s="45"/>
      <c r="E22" s="45"/>
      <c r="F22" s="45"/>
      <c r="G22" s="45"/>
      <c r="H22" s="45"/>
      <c r="I22" s="46"/>
      <c r="J22" s="47"/>
      <c r="K22" s="44"/>
      <c r="L22" s="45"/>
      <c r="M22" s="45"/>
      <c r="N22" s="45"/>
      <c r="O22" s="45"/>
      <c r="P22" s="45"/>
      <c r="Q22" s="46"/>
      <c r="R22" s="47"/>
      <c r="S22" s="48"/>
      <c r="T22" s="49"/>
      <c r="U22" s="49"/>
      <c r="V22" s="50"/>
      <c r="W22" s="47"/>
      <c r="X22" s="48"/>
      <c r="Y22" s="49"/>
      <c r="Z22" s="49"/>
      <c r="AA22" s="50"/>
      <c r="AB22" s="47"/>
      <c r="AC22" s="48"/>
      <c r="AD22" s="49"/>
      <c r="AE22" s="49"/>
      <c r="AF22" s="50"/>
      <c r="AG22" s="47"/>
      <c r="AH22" s="54"/>
      <c r="AI22" s="49"/>
      <c r="AJ22" s="45"/>
      <c r="AK22" s="55"/>
      <c r="AL22" s="56"/>
      <c r="AM22" s="56"/>
      <c r="AN22" s="56"/>
      <c r="AO22" s="56"/>
    </row>
    <row r="23" spans="2:41" x14ac:dyDescent="0.25">
      <c r="B23" s="220">
        <v>0.79166666666666696</v>
      </c>
      <c r="C23" s="44"/>
      <c r="D23" s="45"/>
      <c r="E23" s="45"/>
      <c r="F23" s="45"/>
      <c r="G23" s="45"/>
      <c r="H23" s="45"/>
      <c r="I23" s="46"/>
      <c r="J23" s="47"/>
      <c r="K23" s="44"/>
      <c r="L23" s="45"/>
      <c r="M23" s="45"/>
      <c r="N23" s="45"/>
      <c r="O23" s="45"/>
      <c r="P23" s="45"/>
      <c r="Q23" s="46"/>
      <c r="R23" s="47"/>
      <c r="S23" s="48"/>
      <c r="T23" s="49"/>
      <c r="U23" s="49"/>
      <c r="V23" s="50"/>
      <c r="W23" s="47"/>
      <c r="X23" s="48"/>
      <c r="Y23" s="49"/>
      <c r="Z23" s="49"/>
      <c r="AA23" s="50"/>
      <c r="AB23" s="47"/>
      <c r="AC23" s="48"/>
      <c r="AD23" s="49"/>
      <c r="AE23" s="49"/>
      <c r="AF23" s="50"/>
      <c r="AG23" s="47"/>
      <c r="AH23" s="54"/>
      <c r="AI23" s="49"/>
      <c r="AJ23" s="45"/>
      <c r="AK23" s="55"/>
      <c r="AL23" s="57"/>
      <c r="AM23" s="56"/>
      <c r="AN23" s="56"/>
      <c r="AO23" s="56"/>
    </row>
    <row r="24" spans="2:41" x14ac:dyDescent="0.25">
      <c r="B24" s="220">
        <v>0.83333333333333304</v>
      </c>
      <c r="C24" s="44"/>
      <c r="D24" s="45"/>
      <c r="E24" s="45"/>
      <c r="F24" s="45"/>
      <c r="G24" s="45"/>
      <c r="H24" s="45"/>
      <c r="I24" s="46"/>
      <c r="J24" s="47"/>
      <c r="K24" s="44"/>
      <c r="L24" s="45"/>
      <c r="M24" s="45"/>
      <c r="N24" s="45"/>
      <c r="O24" s="45"/>
      <c r="P24" s="45"/>
      <c r="Q24" s="46"/>
      <c r="R24" s="47"/>
      <c r="S24" s="48"/>
      <c r="T24" s="49"/>
      <c r="U24" s="49"/>
      <c r="V24" s="50"/>
      <c r="W24" s="47"/>
      <c r="X24" s="48"/>
      <c r="Y24" s="49"/>
      <c r="Z24" s="49"/>
      <c r="AA24" s="50"/>
      <c r="AB24" s="47"/>
      <c r="AC24" s="48"/>
      <c r="AD24" s="49"/>
      <c r="AE24" s="49"/>
      <c r="AF24" s="50"/>
      <c r="AG24" s="47"/>
      <c r="AH24" s="54"/>
      <c r="AI24" s="49"/>
      <c r="AJ24" s="45"/>
      <c r="AK24" s="55"/>
      <c r="AL24" s="56"/>
      <c r="AM24" s="56"/>
      <c r="AN24" s="56"/>
      <c r="AO24" s="56"/>
    </row>
    <row r="25" spans="2:41" x14ac:dyDescent="0.25">
      <c r="B25" s="220">
        <v>0.875</v>
      </c>
      <c r="C25" s="44"/>
      <c r="D25" s="45"/>
      <c r="E25" s="45"/>
      <c r="F25" s="45"/>
      <c r="G25" s="45"/>
      <c r="H25" s="45"/>
      <c r="I25" s="46"/>
      <c r="J25" s="47"/>
      <c r="K25" s="44"/>
      <c r="L25" s="45"/>
      <c r="M25" s="45"/>
      <c r="N25" s="45"/>
      <c r="O25" s="45"/>
      <c r="P25" s="45"/>
      <c r="Q25" s="46"/>
      <c r="R25" s="47"/>
      <c r="S25" s="48"/>
      <c r="T25" s="49"/>
      <c r="U25" s="49"/>
      <c r="V25" s="50"/>
      <c r="W25" s="47"/>
      <c r="X25" s="48"/>
      <c r="Y25" s="49"/>
      <c r="Z25" s="49"/>
      <c r="AA25" s="50"/>
      <c r="AB25" s="47"/>
      <c r="AC25" s="48"/>
      <c r="AD25" s="49"/>
      <c r="AE25" s="49"/>
      <c r="AF25" s="50"/>
      <c r="AG25" s="47"/>
      <c r="AH25" s="54"/>
      <c r="AI25" s="49"/>
      <c r="AJ25" s="45"/>
      <c r="AK25" s="55"/>
      <c r="AL25" s="56"/>
      <c r="AM25" s="56"/>
      <c r="AN25" s="56"/>
      <c r="AO25" s="56"/>
    </row>
    <row r="26" spans="2:41" x14ac:dyDescent="0.25">
      <c r="B26" s="220">
        <v>0.91666666666666696</v>
      </c>
      <c r="C26" s="44"/>
      <c r="D26" s="45"/>
      <c r="E26" s="45"/>
      <c r="F26" s="45"/>
      <c r="G26" s="45"/>
      <c r="H26" s="45"/>
      <c r="I26" s="46"/>
      <c r="J26" s="47"/>
      <c r="K26" s="44"/>
      <c r="L26" s="45"/>
      <c r="M26" s="45"/>
      <c r="N26" s="45"/>
      <c r="O26" s="45"/>
      <c r="P26" s="45"/>
      <c r="Q26" s="46"/>
      <c r="R26" s="47"/>
      <c r="S26" s="48"/>
      <c r="T26" s="49"/>
      <c r="U26" s="49"/>
      <c r="V26" s="50"/>
      <c r="W26" s="47"/>
      <c r="X26" s="48"/>
      <c r="Y26" s="49"/>
      <c r="Z26" s="49"/>
      <c r="AA26" s="50"/>
      <c r="AB26" s="47"/>
      <c r="AC26" s="48"/>
      <c r="AD26" s="49"/>
      <c r="AE26" s="49"/>
      <c r="AF26" s="50"/>
      <c r="AG26" s="47"/>
      <c r="AH26" s="54"/>
      <c r="AI26" s="49"/>
      <c r="AJ26" s="45"/>
      <c r="AK26" s="55"/>
      <c r="AL26" s="56"/>
      <c r="AM26" s="56"/>
      <c r="AN26" s="56"/>
      <c r="AO26" s="56"/>
    </row>
    <row r="27" spans="2:41" x14ac:dyDescent="0.25">
      <c r="B27" s="221">
        <v>0.95833333333333304</v>
      </c>
      <c r="C27" s="44"/>
      <c r="D27" s="58"/>
      <c r="E27" s="45"/>
      <c r="F27" s="45"/>
      <c r="G27" s="45"/>
      <c r="H27" s="45"/>
      <c r="I27" s="46"/>
      <c r="J27" s="47"/>
      <c r="K27" s="44"/>
      <c r="L27" s="45"/>
      <c r="M27" s="45"/>
      <c r="N27" s="45"/>
      <c r="O27" s="45"/>
      <c r="P27" s="45"/>
      <c r="Q27" s="46"/>
      <c r="R27" s="47"/>
      <c r="S27" s="48"/>
      <c r="T27" s="49"/>
      <c r="U27" s="49"/>
      <c r="V27" s="50"/>
      <c r="W27" s="47"/>
      <c r="X27" s="48"/>
      <c r="Y27" s="49"/>
      <c r="Z27" s="49"/>
      <c r="AA27" s="50"/>
      <c r="AB27" s="47"/>
      <c r="AC27" s="48"/>
      <c r="AD27" s="49"/>
      <c r="AE27" s="49"/>
      <c r="AF27" s="50"/>
      <c r="AG27" s="47"/>
      <c r="AH27" s="44"/>
      <c r="AI27" s="45"/>
      <c r="AJ27" s="45"/>
      <c r="AK27" s="46"/>
      <c r="AL27" s="56"/>
      <c r="AM27" s="56"/>
      <c r="AN27" s="56"/>
      <c r="AO27" s="56"/>
    </row>
    <row r="28" spans="2:41" ht="15.75" thickBot="1" x14ac:dyDescent="0.3">
      <c r="B28" s="222" t="s">
        <v>18</v>
      </c>
      <c r="C28" s="216" t="str">
        <f>IFERROR(AVERAGEA(C$4:C$27),"Empty")</f>
        <v>Empty</v>
      </c>
      <c r="D28" s="214" t="str">
        <f>IFERROR(AVERAGEA(D$4:D$27),"Empty")</f>
        <v>Empty</v>
      </c>
      <c r="E28" s="214" t="str">
        <f>IFERROR(AVERAGEA(E$4:E$27),"Empty")</f>
        <v>Empty</v>
      </c>
      <c r="F28" s="214" t="str">
        <f>IFERROR(AVERAGEA(F$4:F$27),"Empty")</f>
        <v>Empty</v>
      </c>
      <c r="G28" s="214" t="str">
        <f>IFERROR(AVERAGEA(G$4:G$27),"Empty")</f>
        <v>Empty</v>
      </c>
      <c r="H28" s="214" t="str">
        <f t="shared" ref="H28:I28" si="0">IFERROR(AVERAGEA(H$4:H$27),"Empty")</f>
        <v>Empty</v>
      </c>
      <c r="I28" s="215" t="str">
        <f t="shared" si="0"/>
        <v>Empty</v>
      </c>
      <c r="J28" s="187"/>
      <c r="K28" s="173" t="str">
        <f>IFERROR(AVERAGEA(K$4:K$27),"Empty")</f>
        <v>Empty</v>
      </c>
      <c r="L28" s="171" t="str">
        <f t="shared" ref="L28:Q28" si="1">IFERROR(AVERAGEA(L$4:L$27),"Empty")</f>
        <v>Empty</v>
      </c>
      <c r="M28" s="171" t="str">
        <f t="shared" si="1"/>
        <v>Empty</v>
      </c>
      <c r="N28" s="171" t="str">
        <f t="shared" si="1"/>
        <v>Empty</v>
      </c>
      <c r="O28" s="171" t="str">
        <f t="shared" si="1"/>
        <v>Empty</v>
      </c>
      <c r="P28" s="171" t="str">
        <f t="shared" si="1"/>
        <v>Empty</v>
      </c>
      <c r="Q28" s="172" t="str">
        <f t="shared" si="1"/>
        <v>Empty</v>
      </c>
      <c r="R28" s="187"/>
      <c r="S28" s="173" t="str">
        <f>IFERROR(AVERAGEA(S$4:S$27),"Empty")</f>
        <v>Empty</v>
      </c>
      <c r="T28" s="171" t="str">
        <f t="shared" ref="T28:AK28" si="2">IFERROR(AVERAGEA(T$4:T$27),"Empty")</f>
        <v>Empty</v>
      </c>
      <c r="U28" s="171" t="str">
        <f t="shared" si="2"/>
        <v>Empty</v>
      </c>
      <c r="V28" s="172" t="str">
        <f t="shared" si="2"/>
        <v>Empty</v>
      </c>
      <c r="W28" s="187"/>
      <c r="X28" s="173" t="str">
        <f t="shared" si="2"/>
        <v>Empty</v>
      </c>
      <c r="Y28" s="171" t="str">
        <f t="shared" si="2"/>
        <v>Empty</v>
      </c>
      <c r="Z28" s="171" t="str">
        <f t="shared" si="2"/>
        <v>Empty</v>
      </c>
      <c r="AA28" s="172" t="str">
        <f t="shared" si="2"/>
        <v>Empty</v>
      </c>
      <c r="AB28" s="187"/>
      <c r="AC28" s="174" t="str">
        <f t="shared" si="2"/>
        <v>Empty</v>
      </c>
      <c r="AD28" s="175" t="str">
        <f t="shared" si="2"/>
        <v>Empty</v>
      </c>
      <c r="AE28" s="175" t="str">
        <f t="shared" si="2"/>
        <v>Empty</v>
      </c>
      <c r="AF28" s="176" t="str">
        <f t="shared" si="2"/>
        <v>Empty</v>
      </c>
      <c r="AG28" s="187"/>
      <c r="AH28" s="174" t="str">
        <f t="shared" si="2"/>
        <v>Empty</v>
      </c>
      <c r="AI28" s="175" t="str">
        <f t="shared" si="2"/>
        <v>Empty</v>
      </c>
      <c r="AJ28" s="175" t="str">
        <f t="shared" si="2"/>
        <v>Empty</v>
      </c>
      <c r="AK28" s="176" t="str">
        <f t="shared" si="2"/>
        <v>Empty</v>
      </c>
    </row>
    <row r="29" spans="2:41" ht="30.75" thickBot="1" x14ac:dyDescent="0.3">
      <c r="B29" s="222" t="s">
        <v>271</v>
      </c>
      <c r="C29" s="174">
        <f>IFERROR(SUM(C$4:C$27),"Empty")</f>
        <v>0</v>
      </c>
      <c r="D29" s="175">
        <f t="shared" ref="D29:AK29" si="3">IFERROR(SUM(D$4:D$27),"Empty")</f>
        <v>0</v>
      </c>
      <c r="E29" s="175">
        <f t="shared" si="3"/>
        <v>0</v>
      </c>
      <c r="F29" s="175">
        <f t="shared" si="3"/>
        <v>0</v>
      </c>
      <c r="G29" s="175">
        <f t="shared" si="3"/>
        <v>0</v>
      </c>
      <c r="H29" s="175">
        <f t="shared" si="3"/>
        <v>0</v>
      </c>
      <c r="I29" s="176">
        <f t="shared" si="3"/>
        <v>0</v>
      </c>
      <c r="J29" s="187"/>
      <c r="K29" s="174">
        <f t="shared" si="3"/>
        <v>0</v>
      </c>
      <c r="L29" s="175">
        <f t="shared" si="3"/>
        <v>0</v>
      </c>
      <c r="M29" s="175">
        <f t="shared" si="3"/>
        <v>0</v>
      </c>
      <c r="N29" s="175">
        <f t="shared" si="3"/>
        <v>0</v>
      </c>
      <c r="O29" s="175">
        <f t="shared" si="3"/>
        <v>0</v>
      </c>
      <c r="P29" s="175">
        <f t="shared" si="3"/>
        <v>0</v>
      </c>
      <c r="Q29" s="176">
        <f t="shared" si="3"/>
        <v>0</v>
      </c>
      <c r="R29" s="187"/>
      <c r="S29" s="174">
        <f t="shared" si="3"/>
        <v>0</v>
      </c>
      <c r="T29" s="175">
        <f t="shared" si="3"/>
        <v>0</v>
      </c>
      <c r="U29" s="175">
        <f t="shared" si="3"/>
        <v>0</v>
      </c>
      <c r="V29" s="176">
        <f t="shared" si="3"/>
        <v>0</v>
      </c>
      <c r="W29" s="187"/>
      <c r="X29" s="174">
        <f t="shared" si="3"/>
        <v>0</v>
      </c>
      <c r="Y29" s="175">
        <f t="shared" si="3"/>
        <v>0</v>
      </c>
      <c r="Z29" s="175">
        <f t="shared" si="3"/>
        <v>0</v>
      </c>
      <c r="AA29" s="176">
        <f t="shared" si="3"/>
        <v>0</v>
      </c>
      <c r="AB29" s="187"/>
      <c r="AC29" s="174">
        <f t="shared" si="3"/>
        <v>0</v>
      </c>
      <c r="AD29" s="175">
        <f t="shared" si="3"/>
        <v>0</v>
      </c>
      <c r="AE29" s="175">
        <f t="shared" si="3"/>
        <v>0</v>
      </c>
      <c r="AF29" s="176">
        <f t="shared" si="3"/>
        <v>0</v>
      </c>
      <c r="AG29" s="187"/>
      <c r="AH29" s="174">
        <f t="shared" si="3"/>
        <v>0</v>
      </c>
      <c r="AI29" s="175">
        <f t="shared" si="3"/>
        <v>0</v>
      </c>
      <c r="AJ29" s="175">
        <f t="shared" si="3"/>
        <v>0</v>
      </c>
      <c r="AK29" s="176">
        <f t="shared" si="3"/>
        <v>0</v>
      </c>
    </row>
    <row r="30" spans="2:41" s="264" customFormat="1" x14ac:dyDescent="0.25">
      <c r="B30" s="265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</row>
    <row r="31" spans="2:41" x14ac:dyDescent="0.25">
      <c r="B31" s="258"/>
      <c r="C31" s="266"/>
      <c r="D31" s="258"/>
      <c r="E31" s="259" t="s">
        <v>29</v>
      </c>
      <c r="F31" s="209">
        <f>IFERROR(SUM(C29:Q29),"Empty")</f>
        <v>0</v>
      </c>
      <c r="AH31" s="59"/>
    </row>
    <row r="32" spans="2:41" x14ac:dyDescent="0.25">
      <c r="B32" s="260"/>
      <c r="C32" s="267"/>
      <c r="D32" s="260"/>
      <c r="E32" s="261" t="s">
        <v>269</v>
      </c>
      <c r="F32" s="209">
        <f>IFERROR(SUM(AC28:AK28),"Empty")</f>
        <v>0</v>
      </c>
    </row>
    <row r="33" spans="2:34" x14ac:dyDescent="0.25">
      <c r="B33" s="262"/>
      <c r="C33" s="268"/>
      <c r="D33" s="262"/>
      <c r="E33" s="263" t="s">
        <v>270</v>
      </c>
      <c r="F33" s="209">
        <f>IFERROR(SUM(S28:AA28),"Empty")</f>
        <v>0</v>
      </c>
      <c r="I33" s="36" t="s">
        <v>31</v>
      </c>
      <c r="AH33" s="60" t="s">
        <v>32</v>
      </c>
    </row>
  </sheetData>
  <mergeCells count="7">
    <mergeCell ref="B1:AK1"/>
    <mergeCell ref="C2:I2"/>
    <mergeCell ref="K2:Q2"/>
    <mergeCell ref="S2:V2"/>
    <mergeCell ref="X2:AA2"/>
    <mergeCell ref="AC2:AF2"/>
    <mergeCell ref="AH2:AK2"/>
  </mergeCells>
  <phoneticPr fontId="5" type="noConversion"/>
  <printOptions horizontalCentered="1" verticalCentered="1" gridLines="1"/>
  <pageMargins left="0.25" right="0.25" top="0.75" bottom="0.75" header="0.3" footer="0.3"/>
  <pageSetup paperSize="5" scale="65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671F-0FF5-410D-B8DA-2ABBBA1415E9}">
  <sheetPr codeName="Sheet7"/>
  <dimension ref="B1:M5"/>
  <sheetViews>
    <sheetView zoomScaleNormal="100" workbookViewId="0">
      <selection activeCell="G9" sqref="G9"/>
    </sheetView>
  </sheetViews>
  <sheetFormatPr defaultColWidth="11.7109375" defaultRowHeight="15" x14ac:dyDescent="0.25"/>
  <cols>
    <col min="1" max="1" width="3.5703125" style="32" customWidth="1"/>
    <col min="2" max="2" width="16" style="32" customWidth="1"/>
    <col min="3" max="13" width="11.7109375" style="32"/>
    <col min="14" max="14" width="4.85546875" style="32" customWidth="1"/>
    <col min="15" max="16384" width="11.7109375" style="32"/>
  </cols>
  <sheetData>
    <row r="1" spans="2:13" ht="15.75" thickBot="1" x14ac:dyDescent="0.3"/>
    <row r="2" spans="2:13" x14ac:dyDescent="0.25">
      <c r="B2" s="231" t="s">
        <v>33</v>
      </c>
      <c r="C2" s="231" t="s">
        <v>34</v>
      </c>
      <c r="D2" s="227" t="s">
        <v>35</v>
      </c>
      <c r="E2" s="228"/>
      <c r="F2" s="227" t="s">
        <v>36</v>
      </c>
      <c r="G2" s="228"/>
      <c r="H2" s="227" t="s">
        <v>37</v>
      </c>
      <c r="I2" s="228"/>
      <c r="J2" s="227" t="s">
        <v>38</v>
      </c>
      <c r="K2" s="228"/>
      <c r="L2" s="227" t="s">
        <v>39</v>
      </c>
      <c r="M2" s="228"/>
    </row>
    <row r="3" spans="2:13" ht="15.75" thickBot="1" x14ac:dyDescent="0.3">
      <c r="B3" s="232"/>
      <c r="C3" s="232"/>
      <c r="D3" s="229"/>
      <c r="E3" s="230"/>
      <c r="F3" s="229"/>
      <c r="G3" s="230"/>
      <c r="H3" s="229"/>
      <c r="I3" s="230"/>
      <c r="J3" s="229"/>
      <c r="K3" s="230"/>
      <c r="L3" s="229"/>
      <c r="M3" s="230"/>
    </row>
    <row r="4" spans="2:13" ht="15.75" thickBot="1" x14ac:dyDescent="0.3">
      <c r="B4" s="233"/>
      <c r="C4" s="233"/>
      <c r="D4" s="169" t="s">
        <v>40</v>
      </c>
      <c r="E4" s="170" t="s">
        <v>41</v>
      </c>
      <c r="F4" s="169" t="s">
        <v>40</v>
      </c>
      <c r="G4" s="170" t="s">
        <v>41</v>
      </c>
      <c r="H4" s="169" t="s">
        <v>40</v>
      </c>
      <c r="I4" s="170" t="s">
        <v>41</v>
      </c>
      <c r="J4" s="169" t="s">
        <v>40</v>
      </c>
      <c r="K4" s="170" t="s">
        <v>41</v>
      </c>
      <c r="L4" s="169" t="s">
        <v>40</v>
      </c>
      <c r="M4" s="170" t="s">
        <v>41</v>
      </c>
    </row>
    <row r="5" spans="2:13" x14ac:dyDescent="0.25">
      <c r="B5" s="33"/>
      <c r="C5" s="33"/>
      <c r="D5" s="34"/>
      <c r="E5" s="35"/>
      <c r="F5" s="34"/>
      <c r="G5" s="35"/>
      <c r="H5" s="34"/>
      <c r="I5" s="35"/>
      <c r="J5" s="34"/>
      <c r="K5" s="35"/>
      <c r="L5" s="34"/>
      <c r="M5" s="35"/>
    </row>
  </sheetData>
  <mergeCells count="7">
    <mergeCell ref="J2:K3"/>
    <mergeCell ref="L2:M3"/>
    <mergeCell ref="B2:B4"/>
    <mergeCell ref="C2:C4"/>
    <mergeCell ref="D2:E3"/>
    <mergeCell ref="F2:G3"/>
    <mergeCell ref="H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0C02-D9B8-424B-801D-82C761354311}">
  <sheetPr codeName="Sheet8"/>
  <dimension ref="B2:P19"/>
  <sheetViews>
    <sheetView workbookViewId="0">
      <selection activeCell="D10" sqref="D10"/>
    </sheetView>
  </sheetViews>
  <sheetFormatPr defaultRowHeight="15" x14ac:dyDescent="0.25"/>
  <cols>
    <col min="1" max="1" width="2.42578125" customWidth="1"/>
    <col min="2" max="2" width="1.5703125" customWidth="1"/>
    <col min="3" max="3" width="24.5703125" bestFit="1" customWidth="1"/>
    <col min="7" max="7" width="1.42578125" customWidth="1"/>
    <col min="11" max="11" width="0.85546875" customWidth="1"/>
    <col min="15" max="15" width="0.85546875" customWidth="1"/>
  </cols>
  <sheetData>
    <row r="2" spans="2:16" x14ac:dyDescent="0.25"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61"/>
    </row>
    <row r="3" spans="2:16" x14ac:dyDescent="0.25">
      <c r="B3" s="161"/>
      <c r="D3" s="152" t="s">
        <v>44</v>
      </c>
      <c r="E3" s="153"/>
      <c r="F3" s="154"/>
      <c r="H3" s="152" t="s">
        <v>42</v>
      </c>
      <c r="I3" s="153"/>
      <c r="J3" s="154"/>
      <c r="L3" s="152" t="s">
        <v>43</v>
      </c>
      <c r="M3" s="153"/>
      <c r="N3" s="154"/>
      <c r="P3" s="161"/>
    </row>
    <row r="4" spans="2:16" x14ac:dyDescent="0.25">
      <c r="B4" s="161"/>
      <c r="C4" t="s">
        <v>45</v>
      </c>
      <c r="D4" s="155" t="s">
        <v>46</v>
      </c>
      <c r="E4" s="155" t="s">
        <v>47</v>
      </c>
      <c r="F4" s="155" t="s">
        <v>48</v>
      </c>
      <c r="H4" s="155" t="s">
        <v>46</v>
      </c>
      <c r="I4" s="155" t="s">
        <v>47</v>
      </c>
      <c r="J4" s="155" t="s">
        <v>48</v>
      </c>
      <c r="K4" s="12"/>
      <c r="L4" s="155" t="s">
        <v>46</v>
      </c>
      <c r="M4" s="155" t="s">
        <v>47</v>
      </c>
      <c r="N4" s="155" t="s">
        <v>48</v>
      </c>
      <c r="O4" s="12"/>
      <c r="P4" s="161"/>
    </row>
    <row r="5" spans="2:16" x14ac:dyDescent="0.25">
      <c r="B5" s="161"/>
      <c r="C5" t="s">
        <v>49</v>
      </c>
      <c r="D5" s="11"/>
      <c r="E5" s="11"/>
      <c r="F5" s="11"/>
      <c r="H5" s="11"/>
      <c r="I5" s="11"/>
      <c r="J5" s="11"/>
      <c r="K5" s="13"/>
      <c r="L5" s="11"/>
      <c r="M5" s="11"/>
      <c r="N5" s="11"/>
      <c r="O5" s="13"/>
      <c r="P5" s="161"/>
    </row>
    <row r="6" spans="2:16" x14ac:dyDescent="0.25">
      <c r="B6" s="161"/>
      <c r="C6" t="s">
        <v>268</v>
      </c>
      <c r="D6" s="156" t="str">
        <f>IFERROR(AVERAGEA(D5:F5),"Empty")</f>
        <v>Empty</v>
      </c>
      <c r="H6" s="150" t="str">
        <f>IFERROR(AVERAGEA(H5:J5),"Empty")</f>
        <v>Empty</v>
      </c>
      <c r="I6" s="149"/>
      <c r="J6" s="149"/>
      <c r="L6" s="156" t="str">
        <f>IFERROR(AVERAGEA(L5:N5),"Empty")</f>
        <v>Empty</v>
      </c>
      <c r="P6" s="161"/>
    </row>
    <row r="7" spans="2:16" x14ac:dyDescent="0.25">
      <c r="B7" s="161"/>
      <c r="P7" s="161"/>
    </row>
    <row r="8" spans="2:16" x14ac:dyDescent="0.25">
      <c r="B8" s="161"/>
      <c r="C8" t="s">
        <v>264</v>
      </c>
      <c r="D8" s="202" t="str">
        <f>IFERROR(AVERAGE(H6,L6,D6),"Empty")</f>
        <v>Empty</v>
      </c>
      <c r="P8" s="161"/>
    </row>
    <row r="9" spans="2:16" x14ac:dyDescent="0.25">
      <c r="B9" s="161"/>
      <c r="C9" t="s">
        <v>265</v>
      </c>
      <c r="D9" s="202" t="str">
        <f>IFERROR(AVERAGEA(J5,N5,F5),"Empty")</f>
        <v>Empty</v>
      </c>
      <c r="P9" s="161"/>
    </row>
    <row r="10" spans="2:16" x14ac:dyDescent="0.25">
      <c r="B10" s="162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61"/>
    </row>
    <row r="11" spans="2:16" x14ac:dyDescent="0.25">
      <c r="P11" s="161"/>
    </row>
    <row r="12" spans="2:16" x14ac:dyDescent="0.25">
      <c r="B12" s="152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61"/>
    </row>
    <row r="13" spans="2:16" x14ac:dyDescent="0.25">
      <c r="B13" s="161"/>
      <c r="D13" s="152" t="s">
        <v>44</v>
      </c>
      <c r="E13" s="153"/>
      <c r="F13" s="154"/>
      <c r="H13" s="152" t="s">
        <v>42</v>
      </c>
      <c r="I13" s="153"/>
      <c r="J13" s="154"/>
      <c r="L13" s="152" t="s">
        <v>43</v>
      </c>
      <c r="M13" s="153"/>
      <c r="N13" s="154"/>
      <c r="P13" s="161"/>
    </row>
    <row r="14" spans="2:16" ht="22.5" x14ac:dyDescent="0.25">
      <c r="B14" s="161"/>
      <c r="C14" t="s">
        <v>50</v>
      </c>
      <c r="D14" s="155" t="s">
        <v>51</v>
      </c>
      <c r="E14" s="155" t="s">
        <v>52</v>
      </c>
      <c r="F14" s="155" t="s">
        <v>53</v>
      </c>
      <c r="H14" s="155" t="s">
        <v>51</v>
      </c>
      <c r="I14" s="155" t="s">
        <v>52</v>
      </c>
      <c r="J14" s="155" t="s">
        <v>53</v>
      </c>
      <c r="K14" s="12"/>
      <c r="L14" s="155" t="s">
        <v>51</v>
      </c>
      <c r="M14" s="155" t="s">
        <v>52</v>
      </c>
      <c r="N14" s="155" t="s">
        <v>53</v>
      </c>
      <c r="O14" s="12"/>
      <c r="P14" s="161"/>
    </row>
    <row r="15" spans="2:16" x14ac:dyDescent="0.25">
      <c r="B15" s="161"/>
      <c r="C15" t="s">
        <v>54</v>
      </c>
      <c r="D15" s="11"/>
      <c r="E15" s="11"/>
      <c r="F15" s="11"/>
      <c r="H15" s="11"/>
      <c r="I15" s="11"/>
      <c r="J15" s="11"/>
      <c r="K15" s="13"/>
      <c r="L15" s="11"/>
      <c r="M15" s="11"/>
      <c r="N15" s="11"/>
      <c r="O15" s="13"/>
      <c r="P15" s="161"/>
    </row>
    <row r="16" spans="2:16" x14ac:dyDescent="0.25">
      <c r="B16" s="161"/>
      <c r="C16" t="s">
        <v>267</v>
      </c>
      <c r="D16" s="156" t="str">
        <f>IFERROR(AVERAGE(D15:F15),"Empty")</f>
        <v>Empty</v>
      </c>
      <c r="H16" s="158" t="str">
        <f>IFERROR(AVERAGE(H15:J15),"Empty")</f>
        <v>Empty</v>
      </c>
      <c r="L16" s="156" t="str">
        <f>IFERROR(AVERAGE(L15:N15),"Empty")</f>
        <v>Empty</v>
      </c>
      <c r="P16" s="161"/>
    </row>
    <row r="17" spans="2:16" x14ac:dyDescent="0.25">
      <c r="B17" s="161"/>
      <c r="P17" s="161"/>
    </row>
    <row r="18" spans="2:16" x14ac:dyDescent="0.25">
      <c r="B18" s="161"/>
      <c r="C18" t="s">
        <v>266</v>
      </c>
      <c r="D18" s="202" t="str">
        <f>IFERROR(AVERAGE(H16,L16,D16),"Empty")</f>
        <v>Empty</v>
      </c>
      <c r="P18" s="161"/>
    </row>
    <row r="19" spans="2:16" x14ac:dyDescent="0.25">
      <c r="B19" s="162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4692-E34A-41FD-B3D4-6B221AFFE45B}">
  <dimension ref="B2:K8"/>
  <sheetViews>
    <sheetView workbookViewId="0">
      <selection activeCell="K8" sqref="K8"/>
    </sheetView>
  </sheetViews>
  <sheetFormatPr defaultRowHeight="15" x14ac:dyDescent="0.25"/>
  <cols>
    <col min="1" max="1" width="3.140625" customWidth="1"/>
    <col min="3" max="3" width="11.42578125" customWidth="1"/>
    <col min="4" max="4" width="10.85546875" customWidth="1"/>
    <col min="5" max="5" width="10.7109375" customWidth="1"/>
    <col min="6" max="6" width="3.5703125" customWidth="1"/>
  </cols>
  <sheetData>
    <row r="2" spans="2:11" x14ac:dyDescent="0.25">
      <c r="B2" s="117"/>
      <c r="C2" s="117" t="s">
        <v>60</v>
      </c>
      <c r="D2" s="118" t="s">
        <v>58</v>
      </c>
      <c r="E2" s="117" t="s">
        <v>59</v>
      </c>
      <c r="G2" s="234" t="s">
        <v>61</v>
      </c>
      <c r="H2" s="235"/>
      <c r="I2" s="235"/>
      <c r="J2" s="235"/>
      <c r="K2" s="236"/>
    </row>
    <row r="3" spans="2:11" x14ac:dyDescent="0.25">
      <c r="B3" s="119" t="s">
        <v>62</v>
      </c>
      <c r="C3" s="117"/>
      <c r="D3" s="117"/>
      <c r="E3" s="117"/>
      <c r="G3" s="197" t="s">
        <v>63</v>
      </c>
      <c r="H3" s="197" t="s">
        <v>64</v>
      </c>
      <c r="I3" s="197"/>
      <c r="J3" s="197" t="s">
        <v>65</v>
      </c>
      <c r="K3" s="197">
        <v>1</v>
      </c>
    </row>
    <row r="4" spans="2:11" x14ac:dyDescent="0.25">
      <c r="B4" s="120" t="s">
        <v>66</v>
      </c>
      <c r="C4" s="117"/>
      <c r="D4" s="117"/>
      <c r="E4" s="117"/>
      <c r="G4" s="198">
        <v>40854</v>
      </c>
      <c r="H4" s="121"/>
      <c r="I4" s="121"/>
      <c r="J4" s="121"/>
      <c r="K4" s="199"/>
    </row>
    <row r="5" spans="2:11" x14ac:dyDescent="0.25">
      <c r="B5" s="119" t="s">
        <v>67</v>
      </c>
      <c r="C5" s="117"/>
      <c r="D5" s="117"/>
      <c r="E5" s="117"/>
      <c r="G5" s="198">
        <v>40727</v>
      </c>
      <c r="H5" s="121"/>
      <c r="I5" s="121"/>
      <c r="J5" s="121"/>
      <c r="K5" s="199"/>
    </row>
    <row r="6" spans="2:11" x14ac:dyDescent="0.25">
      <c r="B6" s="120" t="s">
        <v>68</v>
      </c>
      <c r="C6" s="117"/>
      <c r="D6" s="117"/>
      <c r="E6" s="117"/>
      <c r="G6" s="198">
        <v>40613</v>
      </c>
      <c r="H6" s="121"/>
      <c r="I6" s="121"/>
      <c r="J6" s="121"/>
      <c r="K6" s="199"/>
    </row>
    <row r="7" spans="2:11" x14ac:dyDescent="0.25">
      <c r="B7" s="120" t="s">
        <v>69</v>
      </c>
      <c r="C7" s="117"/>
      <c r="D7" s="117"/>
      <c r="E7" s="117"/>
      <c r="G7" s="200" t="s">
        <v>70</v>
      </c>
      <c r="H7" s="201" t="str">
        <f>IFERROR(AVERAGE(H4:H6),"Empty")</f>
        <v>Empty</v>
      </c>
      <c r="I7" s="201" t="str">
        <f>IFERROR(AVERAGE(I4:I6),"Empty")</f>
        <v>Empty</v>
      </c>
      <c r="J7" s="201" t="str">
        <f>IFERROR(AVERAGE(J4:J6),"Empty")</f>
        <v>Empty</v>
      </c>
      <c r="K7" s="201" t="str">
        <f>IFERROR(AVERAGE(K4:K6),"Empty")</f>
        <v>Empty</v>
      </c>
    </row>
    <row r="8" spans="2:11" x14ac:dyDescent="0.25">
      <c r="G8" s="237" t="s">
        <v>71</v>
      </c>
      <c r="H8" s="237"/>
      <c r="I8" s="237"/>
      <c r="J8" s="237"/>
      <c r="K8" s="210" t="str">
        <f>IFERROR(AVERAGE(H7:K7),"Empty")</f>
        <v>Empty</v>
      </c>
    </row>
  </sheetData>
  <mergeCells count="2">
    <mergeCell ref="G2:K2"/>
    <mergeCell ref="G8:J8"/>
  </mergeCells>
  <pageMargins left="0.7" right="0.7" top="0.75" bottom="0.75" header="0.3" footer="0.3"/>
  <ignoredErrors>
    <ignoredError sqref="K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L37"/>
  <sheetViews>
    <sheetView zoomScaleNormal="100" workbookViewId="0">
      <selection activeCell="R25" sqref="R25"/>
    </sheetView>
  </sheetViews>
  <sheetFormatPr defaultColWidth="9.140625" defaultRowHeight="15" x14ac:dyDescent="0.25"/>
  <cols>
    <col min="1" max="1" width="2.28515625" style="14" customWidth="1"/>
    <col min="2" max="2" width="11.42578125" style="14" customWidth="1"/>
    <col min="3" max="3" width="9.85546875" style="14" customWidth="1"/>
    <col min="4" max="4" width="5.42578125" style="14" customWidth="1"/>
    <col min="5" max="5" width="5.28515625" style="14" customWidth="1"/>
    <col min="6" max="6" width="5.42578125" style="14" customWidth="1"/>
    <col min="7" max="7" width="6.140625" style="14" customWidth="1"/>
    <col min="8" max="8" width="6.7109375" style="14" customWidth="1"/>
    <col min="9" max="9" width="4.5703125" style="14" customWidth="1"/>
    <col min="10" max="10" width="6.85546875" style="14" customWidth="1"/>
    <col min="11" max="11" width="6" style="14" customWidth="1"/>
    <col min="12" max="12" width="6.42578125" style="14" customWidth="1"/>
    <col min="13" max="13" width="5.5703125" style="14" customWidth="1"/>
    <col min="14" max="14" width="7.42578125" style="14" customWidth="1"/>
    <col min="15" max="15" width="2.42578125" customWidth="1"/>
    <col min="16" max="16" width="3" style="14" customWidth="1"/>
    <col min="17" max="17" width="15.5703125" style="14" customWidth="1"/>
    <col min="18" max="18" width="12" style="14" customWidth="1"/>
    <col min="19" max="19" width="2.140625" customWidth="1"/>
    <col min="20" max="20" width="2.140625" style="14" customWidth="1"/>
    <col min="21" max="21" width="21.85546875" style="14" customWidth="1"/>
    <col min="22" max="26" width="8.7109375" style="14" customWidth="1"/>
    <col min="27" max="27" width="10" style="14" customWidth="1"/>
    <col min="28" max="34" width="6.140625" style="14" customWidth="1"/>
    <col min="35" max="36" width="9.140625" style="14"/>
    <col min="37" max="37" width="15.140625" style="14" bestFit="1" customWidth="1"/>
    <col min="38" max="16384" width="9.140625" style="14"/>
  </cols>
  <sheetData>
    <row r="1" spans="2:38" ht="15" customHeight="1" thickBot="1" x14ac:dyDescent="0.3"/>
    <row r="2" spans="2:38" ht="15" customHeight="1" thickBot="1" x14ac:dyDescent="0.3">
      <c r="B2" s="241" t="s">
        <v>72</v>
      </c>
      <c r="C2" s="242"/>
      <c r="D2" s="242"/>
      <c r="E2" s="242"/>
      <c r="F2" s="242"/>
      <c r="G2" s="242"/>
      <c r="H2" s="243"/>
      <c r="J2" s="244" t="s">
        <v>73</v>
      </c>
      <c r="K2" s="245"/>
      <c r="L2" s="246"/>
      <c r="Q2" s="247" t="s">
        <v>74</v>
      </c>
      <c r="R2" s="248"/>
    </row>
    <row r="3" spans="2:38" ht="15" customHeight="1" thickBot="1" x14ac:dyDescent="0.3">
      <c r="B3" s="17" t="s">
        <v>0</v>
      </c>
      <c r="C3" s="92" t="s">
        <v>1</v>
      </c>
      <c r="D3" s="93" t="s">
        <v>75</v>
      </c>
      <c r="E3" s="93" t="s">
        <v>76</v>
      </c>
      <c r="F3" s="93" t="s">
        <v>77</v>
      </c>
      <c r="G3" s="94" t="s">
        <v>78</v>
      </c>
      <c r="H3" s="17" t="s">
        <v>70</v>
      </c>
      <c r="I3" s="71"/>
      <c r="J3" s="15" t="s">
        <v>55</v>
      </c>
      <c r="K3" s="18" t="s">
        <v>79</v>
      </c>
      <c r="L3" s="16" t="s">
        <v>80</v>
      </c>
      <c r="Q3" s="19" t="s">
        <v>81</v>
      </c>
      <c r="R3" s="131"/>
    </row>
    <row r="4" spans="2:38" ht="15" customHeight="1" x14ac:dyDescent="0.25">
      <c r="B4" s="122" t="s">
        <v>82</v>
      </c>
      <c r="C4" s="115"/>
      <c r="D4" s="123"/>
      <c r="E4" s="115"/>
      <c r="F4" s="115"/>
      <c r="G4" s="115"/>
      <c r="H4" s="102" t="str">
        <f>IFERROR(AVERAGE(D4:G4),"Empty")</f>
        <v>Empty</v>
      </c>
      <c r="J4" s="20">
        <v>5</v>
      </c>
      <c r="K4" s="125"/>
      <c r="L4" s="126"/>
      <c r="Q4" s="21" t="s">
        <v>83</v>
      </c>
      <c r="R4" s="132"/>
    </row>
    <row r="5" spans="2:38" ht="15" customHeight="1" x14ac:dyDescent="0.25">
      <c r="B5" s="122" t="s">
        <v>82</v>
      </c>
      <c r="C5" s="116"/>
      <c r="D5" s="115"/>
      <c r="E5" s="115"/>
      <c r="F5" s="115"/>
      <c r="G5" s="115"/>
      <c r="H5" s="85" t="str">
        <f t="shared" ref="H5:H6" si="0">IFERROR(AVERAGE(D5:G5),"Empty")</f>
        <v>Empty</v>
      </c>
      <c r="J5" s="22">
        <v>10</v>
      </c>
      <c r="K5" s="127"/>
      <c r="L5" s="128"/>
      <c r="Q5" s="21" t="s">
        <v>84</v>
      </c>
      <c r="R5" s="132"/>
    </row>
    <row r="6" spans="2:38" ht="15" customHeight="1" x14ac:dyDescent="0.25">
      <c r="B6" s="122" t="s">
        <v>82</v>
      </c>
      <c r="C6" s="115"/>
      <c r="D6" s="115"/>
      <c r="E6" s="115"/>
      <c r="F6" s="115"/>
      <c r="G6" s="115"/>
      <c r="H6" s="86" t="str">
        <f t="shared" si="0"/>
        <v>Empty</v>
      </c>
      <c r="J6" s="22">
        <v>15</v>
      </c>
      <c r="K6" s="127"/>
      <c r="L6" s="128"/>
      <c r="Q6" s="21" t="s">
        <v>85</v>
      </c>
      <c r="R6" s="132"/>
    </row>
    <row r="7" spans="2:38" ht="15" customHeight="1" x14ac:dyDescent="0.25">
      <c r="C7" s="71" t="s">
        <v>86</v>
      </c>
      <c r="D7" s="30"/>
      <c r="E7" s="30"/>
      <c r="F7" s="30"/>
      <c r="G7" s="30"/>
      <c r="H7" s="30"/>
      <c r="J7" s="22">
        <v>20</v>
      </c>
      <c r="K7" s="127"/>
      <c r="L7" s="128"/>
      <c r="Q7" s="23" t="s">
        <v>87</v>
      </c>
      <c r="R7" s="133"/>
    </row>
    <row r="8" spans="2:38" ht="15" customHeight="1" x14ac:dyDescent="0.25">
      <c r="J8" s="22">
        <v>25</v>
      </c>
      <c r="K8" s="127"/>
      <c r="L8" s="128"/>
      <c r="Q8" s="24" t="s">
        <v>88</v>
      </c>
      <c r="R8" s="134"/>
    </row>
    <row r="9" spans="2:38" ht="15" customHeight="1" thickBot="1" x14ac:dyDescent="0.3">
      <c r="J9" s="25">
        <v>30</v>
      </c>
      <c r="K9" s="129"/>
      <c r="L9" s="130"/>
      <c r="Q9" s="26" t="s">
        <v>89</v>
      </c>
      <c r="R9" s="135"/>
      <c r="U9" s="27"/>
    </row>
    <row r="10" spans="2:38" customFormat="1" ht="15" customHeight="1" x14ac:dyDescent="0.25">
      <c r="AA10" s="14"/>
      <c r="AB10" s="14"/>
      <c r="AC10" s="14"/>
      <c r="AD10" s="14"/>
      <c r="AE10" s="14"/>
      <c r="AF10" s="14"/>
      <c r="AG10" s="14"/>
      <c r="AH10" s="14"/>
      <c r="AI10" s="14"/>
      <c r="AK10" s="14"/>
      <c r="AL10" s="14"/>
    </row>
    <row r="11" spans="2:38" ht="15" customHeight="1" thickBot="1" x14ac:dyDescent="0.3">
      <c r="W11" s="74"/>
    </row>
    <row r="12" spans="2:38" ht="15" customHeight="1" x14ac:dyDescent="0.25">
      <c r="B12" s="253" t="s">
        <v>90</v>
      </c>
      <c r="C12" s="254"/>
      <c r="D12" s="255"/>
      <c r="E12" s="255"/>
      <c r="F12" s="255"/>
      <c r="G12" s="255"/>
      <c r="H12" s="255"/>
      <c r="I12" s="255"/>
      <c r="J12" s="255"/>
      <c r="K12" s="255"/>
      <c r="L12" s="255"/>
      <c r="M12" s="256"/>
      <c r="N12" s="74"/>
      <c r="P12" s="74"/>
      <c r="U12" s="100" t="s">
        <v>91</v>
      </c>
      <c r="V12" s="99">
        <v>1</v>
      </c>
      <c r="W12" s="109" t="s">
        <v>65</v>
      </c>
      <c r="X12" s="31" t="s">
        <v>92</v>
      </c>
    </row>
    <row r="13" spans="2:38" ht="15" customHeight="1" thickBot="1" x14ac:dyDescent="0.3">
      <c r="B13" s="87"/>
      <c r="C13" s="88"/>
      <c r="D13" s="249" t="s">
        <v>79</v>
      </c>
      <c r="E13" s="249"/>
      <c r="F13" s="249"/>
      <c r="G13" s="249"/>
      <c r="H13" s="249"/>
      <c r="I13" s="250" t="s">
        <v>80</v>
      </c>
      <c r="J13" s="251"/>
      <c r="K13" s="251"/>
      <c r="L13" s="251"/>
      <c r="M13" s="252"/>
      <c r="P13" s="83"/>
      <c r="U13" s="101" t="s">
        <v>93</v>
      </c>
      <c r="V13" s="136"/>
      <c r="W13" s="135"/>
      <c r="X13" s="25"/>
    </row>
    <row r="14" spans="2:38" ht="15" customHeight="1" x14ac:dyDescent="0.25">
      <c r="B14" s="89" t="s">
        <v>94</v>
      </c>
      <c r="C14" s="111" t="s">
        <v>95</v>
      </c>
      <c r="D14" s="107" t="s">
        <v>75</v>
      </c>
      <c r="E14" s="82" t="s">
        <v>76</v>
      </c>
      <c r="F14" s="82" t="s">
        <v>77</v>
      </c>
      <c r="G14" s="84" t="s">
        <v>78</v>
      </c>
      <c r="H14" s="106" t="s">
        <v>96</v>
      </c>
      <c r="I14" s="90" t="s">
        <v>75</v>
      </c>
      <c r="J14" s="82" t="s">
        <v>76</v>
      </c>
      <c r="K14" s="82" t="s">
        <v>77</v>
      </c>
      <c r="L14" s="105" t="s">
        <v>78</v>
      </c>
      <c r="M14" s="82" t="s">
        <v>96</v>
      </c>
      <c r="N14" s="120" t="s">
        <v>70</v>
      </c>
      <c r="P14" s="83"/>
    </row>
    <row r="15" spans="2:38" ht="15" customHeight="1" thickBot="1" x14ac:dyDescent="0.3">
      <c r="B15" s="124" t="s">
        <v>82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0" t="str">
        <f>IFERROR(AVERAGE(D15:L15),"Empty")</f>
        <v>Empty</v>
      </c>
      <c r="P15" s="30"/>
    </row>
    <row r="16" spans="2:38" ht="15" customHeight="1" thickBot="1" x14ac:dyDescent="0.3">
      <c r="B16" s="124" t="s">
        <v>82</v>
      </c>
      <c r="C16" s="116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0" t="str">
        <f>IFERROR(AVERAGE(D16:L16),"Empty")</f>
        <v>Empty</v>
      </c>
      <c r="P16" s="30"/>
      <c r="Q16" s="239" t="s">
        <v>97</v>
      </c>
      <c r="R16" s="240"/>
      <c r="U16" s="137" t="s">
        <v>98</v>
      </c>
      <c r="V16" s="138" t="s">
        <v>9</v>
      </c>
      <c r="W16" s="16" t="s">
        <v>99</v>
      </c>
    </row>
    <row r="17" spans="2:27" ht="15" customHeight="1" x14ac:dyDescent="0.25">
      <c r="B17" s="124" t="s">
        <v>82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0" t="str">
        <f>IFERROR(AVERAGE(D17:L17),"Empty")</f>
        <v>Empty</v>
      </c>
      <c r="P17" s="30"/>
      <c r="Q17" s="213" t="s">
        <v>100</v>
      </c>
      <c r="R17" s="211"/>
      <c r="U17" s="139" t="s">
        <v>101</v>
      </c>
      <c r="V17" s="140"/>
      <c r="W17" s="141"/>
    </row>
    <row r="18" spans="2:27" ht="15" customHeight="1" thickBot="1" x14ac:dyDescent="0.3">
      <c r="B18" s="98" t="s">
        <v>102</v>
      </c>
      <c r="C18" s="112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97">
        <f>IFERROR(SUM(N15:N17),"Empty")</f>
        <v>0</v>
      </c>
      <c r="P18" s="30"/>
      <c r="Q18" s="96" t="s">
        <v>261</v>
      </c>
      <c r="R18" s="211"/>
      <c r="U18" s="25" t="s">
        <v>103</v>
      </c>
      <c r="V18" s="142"/>
      <c r="W18" s="143"/>
    </row>
    <row r="19" spans="2:27" ht="15" customHeight="1" x14ac:dyDescent="0.25">
      <c r="C19" s="7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P19" s="30"/>
      <c r="Q19" s="30"/>
    </row>
    <row r="20" spans="2:27" ht="15" customHeight="1" x14ac:dyDescent="0.25">
      <c r="I20" s="238"/>
      <c r="J20" s="238"/>
      <c r="K20" s="238"/>
      <c r="L20" s="238"/>
      <c r="W20" s="29"/>
      <c r="X20" s="29"/>
    </row>
    <row r="21" spans="2:27" ht="15" customHeight="1" x14ac:dyDescent="0.25">
      <c r="I21" s="81"/>
      <c r="J21" s="81"/>
      <c r="K21"/>
      <c r="L21" s="81"/>
      <c r="Z21" s="29"/>
      <c r="AA21" s="29"/>
    </row>
    <row r="22" spans="2:27" ht="15" customHeight="1" x14ac:dyDescent="0.25">
      <c r="I22" s="81"/>
      <c r="J22" s="81"/>
      <c r="K22"/>
      <c r="L22" s="81"/>
      <c r="Z22" s="29"/>
      <c r="AA22" s="29"/>
    </row>
    <row r="23" spans="2:27" ht="15" customHeight="1" x14ac:dyDescent="0.25">
      <c r="I23" s="81"/>
      <c r="J23" s="81"/>
      <c r="K23"/>
      <c r="L23" s="81"/>
    </row>
    <row r="24" spans="2:27" ht="15" customHeight="1" x14ac:dyDescent="0.25">
      <c r="I24" s="81"/>
      <c r="J24" s="81"/>
      <c r="K24"/>
      <c r="L24" s="81"/>
    </row>
    <row r="25" spans="2:27" ht="15" customHeight="1" x14ac:dyDescent="0.25">
      <c r="I25" s="81"/>
      <c r="J25" s="81"/>
      <c r="K25"/>
      <c r="L25" s="81"/>
    </row>
    <row r="26" spans="2:27" ht="15" customHeight="1" x14ac:dyDescent="0.25">
      <c r="I26" s="81"/>
      <c r="J26" s="81"/>
      <c r="K26"/>
      <c r="L26" s="81"/>
    </row>
    <row r="27" spans="2:27" ht="15" customHeight="1" x14ac:dyDescent="0.25">
      <c r="I27" s="81"/>
      <c r="J27" s="81"/>
      <c r="K27"/>
      <c r="L27" s="81"/>
    </row>
    <row r="28" spans="2:27" ht="15" customHeight="1" x14ac:dyDescent="0.25">
      <c r="I28" s="81"/>
      <c r="J28" s="81"/>
      <c r="K28"/>
      <c r="L28" s="81"/>
    </row>
    <row r="29" spans="2:27" ht="15" customHeight="1" x14ac:dyDescent="0.25">
      <c r="I29" s="81"/>
      <c r="J29" s="81"/>
      <c r="K29"/>
      <c r="L29" s="81"/>
    </row>
    <row r="30" spans="2:27" ht="15" customHeight="1" x14ac:dyDescent="0.25">
      <c r="I30" s="81"/>
      <c r="J30" s="81"/>
      <c r="K30"/>
      <c r="L30" s="81"/>
      <c r="Q30" s="71"/>
      <c r="R30" s="75"/>
      <c r="S30" s="75"/>
      <c r="T30" s="75"/>
      <c r="U30" s="75"/>
      <c r="V30" s="75"/>
    </row>
    <row r="31" spans="2:27" ht="15" customHeight="1" x14ac:dyDescent="0.25">
      <c r="I31" s="81"/>
      <c r="J31" s="81"/>
      <c r="K31"/>
      <c r="L31" s="81"/>
      <c r="M31" s="75"/>
      <c r="N31" s="80"/>
      <c r="Q31" s="76"/>
      <c r="R31" s="77"/>
      <c r="S31" s="77"/>
      <c r="T31" s="78"/>
      <c r="U31" s="77"/>
      <c r="V31" s="77"/>
    </row>
    <row r="32" spans="2:27" ht="15" customHeight="1" x14ac:dyDescent="0.25">
      <c r="I32" s="81"/>
      <c r="J32" s="81"/>
      <c r="K32"/>
      <c r="L32" s="81"/>
      <c r="M32" s="75"/>
      <c r="N32" s="80"/>
      <c r="S32" s="77"/>
      <c r="T32" s="77"/>
      <c r="U32" s="79"/>
      <c r="V32" s="79"/>
    </row>
    <row r="33" spans="1:23" x14ac:dyDescent="0.25">
      <c r="I33" s="81"/>
      <c r="J33" s="81"/>
      <c r="K33"/>
      <c r="L33" s="81"/>
      <c r="S33" s="77"/>
      <c r="T33" s="79"/>
      <c r="U33" s="79"/>
      <c r="V33" s="77"/>
      <c r="W33" s="32"/>
    </row>
    <row r="34" spans="1:23" ht="15" customHeight="1" x14ac:dyDescent="0.25">
      <c r="I34" s="81"/>
      <c r="J34" s="81"/>
      <c r="K34"/>
      <c r="L34" s="81"/>
      <c r="S34" s="14"/>
    </row>
    <row r="35" spans="1:23" ht="15" customHeight="1" x14ac:dyDescent="0.25">
      <c r="I35" s="81"/>
      <c r="J35" s="81"/>
      <c r="K35"/>
      <c r="L35" s="81"/>
      <c r="S35" s="14"/>
    </row>
    <row r="36" spans="1:23" customFormat="1" ht="15" customHeight="1" x14ac:dyDescent="0.25">
      <c r="A36" s="14"/>
      <c r="B36" s="14"/>
      <c r="C36" s="14"/>
      <c r="D36" s="14"/>
      <c r="E36" s="14"/>
      <c r="F36" s="14"/>
      <c r="G36" s="14"/>
      <c r="H36" s="14"/>
      <c r="Q36" s="14"/>
      <c r="R36" s="14"/>
    </row>
    <row r="37" spans="1:23" x14ac:dyDescent="0.25">
      <c r="O37" s="14"/>
      <c r="W37"/>
    </row>
  </sheetData>
  <mergeCells count="8">
    <mergeCell ref="I20:L20"/>
    <mergeCell ref="Q16:R16"/>
    <mergeCell ref="B2:H2"/>
    <mergeCell ref="J2:L2"/>
    <mergeCell ref="Q2:R2"/>
    <mergeCell ref="D13:H13"/>
    <mergeCell ref="I13:M13"/>
    <mergeCell ref="B12:M12"/>
  </mergeCells>
  <phoneticPr fontId="5" type="noConversion"/>
  <dataValidations disablePrompts="1" count="1">
    <dataValidation type="list" allowBlank="1" showInputMessage="1" showErrorMessage="1" sqref="I36:P36" xr:uid="{00000000-0002-0000-0200-000001000000}">
      <formula1>#REF!</formula1>
    </dataValidation>
  </dataValidations>
  <pageMargins left="0.21" right="0.2" top="0.44" bottom="0.48" header="0.21" footer="0.5"/>
  <pageSetup paperSize="5"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B5F7-5B42-4DB4-A1F6-285BA564D518}">
  <dimension ref="B2:J10"/>
  <sheetViews>
    <sheetView zoomScale="90" zoomScaleNormal="90" workbookViewId="0">
      <selection activeCell="P12" sqref="P12"/>
    </sheetView>
  </sheetViews>
  <sheetFormatPr defaultRowHeight="15" x14ac:dyDescent="0.25"/>
  <cols>
    <col min="1" max="1" width="5.42578125" customWidth="1"/>
    <col min="2" max="2" width="11.42578125" customWidth="1"/>
  </cols>
  <sheetData>
    <row r="2" spans="2:10" x14ac:dyDescent="0.25">
      <c r="B2" s="71"/>
      <c r="C2" s="257" t="s">
        <v>252</v>
      </c>
      <c r="D2" s="257"/>
      <c r="E2" s="257"/>
      <c r="F2" s="257"/>
      <c r="G2" s="257"/>
      <c r="H2" s="257"/>
      <c r="I2" s="257"/>
      <c r="J2" s="186"/>
    </row>
    <row r="3" spans="2:10" x14ac:dyDescent="0.25">
      <c r="B3" s="71"/>
      <c r="C3" s="159">
        <v>2</v>
      </c>
      <c r="D3" s="159">
        <v>4</v>
      </c>
      <c r="E3" s="159">
        <v>6</v>
      </c>
      <c r="F3" s="159">
        <v>8</v>
      </c>
      <c r="G3" s="159">
        <v>10</v>
      </c>
      <c r="H3" s="159">
        <v>12</v>
      </c>
      <c r="I3" s="160">
        <v>14</v>
      </c>
      <c r="J3" s="159" t="s">
        <v>70</v>
      </c>
    </row>
    <row r="4" spans="2:10" x14ac:dyDescent="0.25">
      <c r="B4" s="185" t="s">
        <v>104</v>
      </c>
      <c r="C4" s="115"/>
      <c r="D4" s="115"/>
      <c r="E4" s="115"/>
      <c r="F4" s="115"/>
      <c r="G4" s="115"/>
      <c r="H4" s="115"/>
      <c r="I4" s="115"/>
      <c r="J4" s="205" t="str">
        <f>IFERROR(AVERAGE(C4:I4),"Empty")</f>
        <v>Empty</v>
      </c>
    </row>
    <row r="5" spans="2:10" x14ac:dyDescent="0.25">
      <c r="B5" s="185" t="s">
        <v>105</v>
      </c>
      <c r="C5" s="115"/>
      <c r="D5" s="115"/>
      <c r="E5" s="115"/>
      <c r="F5" s="115"/>
      <c r="G5" s="115"/>
      <c r="H5" s="115"/>
      <c r="I5" s="115"/>
      <c r="J5" s="205" t="str">
        <f>IFERROR(AVERAGE(C5:I5),"Empty")</f>
        <v>Empty</v>
      </c>
    </row>
    <row r="7" spans="2:10" x14ac:dyDescent="0.25">
      <c r="B7" s="71"/>
      <c r="C7" s="257" t="s">
        <v>253</v>
      </c>
      <c r="D7" s="257"/>
      <c r="E7" s="257"/>
      <c r="F7" s="257"/>
      <c r="G7" s="257"/>
      <c r="H7" s="257"/>
      <c r="I7" s="257"/>
      <c r="J7" s="88"/>
    </row>
    <row r="8" spans="2:10" x14ac:dyDescent="0.25">
      <c r="B8" s="71"/>
      <c r="C8" s="159">
        <v>2</v>
      </c>
      <c r="D8" s="159">
        <v>4</v>
      </c>
      <c r="E8" s="159">
        <v>6</v>
      </c>
      <c r="F8" s="159">
        <v>8</v>
      </c>
      <c r="G8" s="159">
        <v>10</v>
      </c>
      <c r="H8" s="159">
        <v>12</v>
      </c>
      <c r="I8" s="159">
        <v>14</v>
      </c>
      <c r="J8" s="159" t="s">
        <v>70</v>
      </c>
    </row>
    <row r="9" spans="2:10" x14ac:dyDescent="0.25">
      <c r="B9" s="185" t="s">
        <v>104</v>
      </c>
      <c r="C9" s="115"/>
      <c r="D9" s="115"/>
      <c r="E9" s="115"/>
      <c r="F9" s="115"/>
      <c r="G9" s="115"/>
      <c r="H9" s="115"/>
      <c r="I9" s="115"/>
      <c r="J9" s="205" t="str">
        <f>IFERROR(AVERAGE(C9:I9),"Empty")</f>
        <v>Empty</v>
      </c>
    </row>
    <row r="10" spans="2:10" x14ac:dyDescent="0.25">
      <c r="B10" s="185" t="s">
        <v>105</v>
      </c>
      <c r="C10" s="115"/>
      <c r="D10" s="115"/>
      <c r="E10" s="115"/>
      <c r="F10" s="115"/>
      <c r="G10" s="115"/>
      <c r="H10" s="115"/>
      <c r="I10" s="115"/>
      <c r="J10" s="205" t="str">
        <f>IFERROR(AVERAGE(C10:I10),"Empty")</f>
        <v>Empty</v>
      </c>
    </row>
  </sheetData>
  <mergeCells count="2">
    <mergeCell ref="C2:I2"/>
    <mergeCell ref="C7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AD30-AD3D-4527-ACCD-6072452CD751}">
  <dimension ref="B2:C32"/>
  <sheetViews>
    <sheetView tabSelected="1" zoomScale="90" zoomScaleNormal="90" workbookViewId="0">
      <selection activeCell="C22" sqref="B20:C22"/>
    </sheetView>
  </sheetViews>
  <sheetFormatPr defaultRowHeight="15" x14ac:dyDescent="0.25"/>
  <cols>
    <col min="1" max="1" width="2.85546875" customWidth="1"/>
    <col min="2" max="2" width="21.85546875" customWidth="1"/>
    <col min="3" max="3" width="13.7109375" customWidth="1"/>
    <col min="4" max="4" width="1.7109375" customWidth="1"/>
    <col min="5" max="5" width="2.28515625" customWidth="1"/>
    <col min="6" max="6" width="19.42578125" customWidth="1"/>
    <col min="7" max="8" width="15.140625" bestFit="1" customWidth="1"/>
  </cols>
  <sheetData>
    <row r="2" spans="2:3" x14ac:dyDescent="0.25">
      <c r="B2" s="183" t="s">
        <v>234</v>
      </c>
      <c r="C2" s="184" t="s">
        <v>235</v>
      </c>
    </row>
    <row r="3" spans="2:3" x14ac:dyDescent="0.25">
      <c r="C3" s="1"/>
    </row>
    <row r="4" spans="2:3" x14ac:dyDescent="0.25">
      <c r="B4" s="91" t="s">
        <v>106</v>
      </c>
      <c r="C4" s="95"/>
    </row>
    <row r="5" spans="2:3" x14ac:dyDescent="0.25">
      <c r="B5" s="96" t="s">
        <v>245</v>
      </c>
      <c r="C5" s="205" t="str">
        <f>inf_flow_avg</f>
        <v>Empty</v>
      </c>
    </row>
    <row r="6" spans="2:3" x14ac:dyDescent="0.25">
      <c r="B6" s="96" t="s">
        <v>246</v>
      </c>
      <c r="C6" s="205">
        <f>inf_flow_max</f>
        <v>0</v>
      </c>
    </row>
    <row r="7" spans="2:3" x14ac:dyDescent="0.25">
      <c r="B7" s="96" t="s">
        <v>247</v>
      </c>
      <c r="C7" s="205">
        <f>basin_flow_total</f>
        <v>0</v>
      </c>
    </row>
    <row r="8" spans="2:3" x14ac:dyDescent="0.25">
      <c r="B8" s="96" t="s">
        <v>248</v>
      </c>
      <c r="C8" s="205">
        <f>clarifier_flow_total</f>
        <v>0</v>
      </c>
    </row>
    <row r="9" spans="2:3" x14ac:dyDescent="0.25">
      <c r="B9" s="96" t="s">
        <v>30</v>
      </c>
      <c r="C9" s="205">
        <f>clarifier_underflow_total</f>
        <v>0</v>
      </c>
    </row>
    <row r="10" spans="2:3" x14ac:dyDescent="0.25">
      <c r="B10" s="96" t="s">
        <v>258</v>
      </c>
      <c r="C10" s="205" t="str">
        <f>wasting_average</f>
        <v>Empty</v>
      </c>
    </row>
    <row r="11" spans="2:3" x14ac:dyDescent="0.25">
      <c r="B11" s="14"/>
      <c r="C11" s="71"/>
    </row>
    <row r="12" spans="2:3" x14ac:dyDescent="0.25">
      <c r="B12" s="72" t="s">
        <v>107</v>
      </c>
      <c r="C12" s="108"/>
    </row>
    <row r="13" spans="2:3" x14ac:dyDescent="0.25">
      <c r="B13" s="73" t="s">
        <v>256</v>
      </c>
      <c r="C13" s="203" t="str">
        <f>ph_daily_avg</f>
        <v>Empty</v>
      </c>
    </row>
    <row r="14" spans="2:3" x14ac:dyDescent="0.25">
      <c r="C14" s="1"/>
    </row>
    <row r="15" spans="2:3" x14ac:dyDescent="0.25">
      <c r="B15" s="72" t="s">
        <v>108</v>
      </c>
      <c r="C15" s="108"/>
    </row>
    <row r="16" spans="2:3" x14ac:dyDescent="0.25">
      <c r="B16" s="73" t="s">
        <v>109</v>
      </c>
      <c r="C16" s="207">
        <f>Hourly!Q28</f>
        <v>0</v>
      </c>
    </row>
    <row r="17" spans="2:3" x14ac:dyDescent="0.25">
      <c r="B17" s="28" t="s">
        <v>110</v>
      </c>
      <c r="C17" s="208">
        <f>Hourly!Q30</f>
        <v>0</v>
      </c>
    </row>
    <row r="18" spans="2:3" x14ac:dyDescent="0.25">
      <c r="C18" s="1"/>
    </row>
    <row r="19" spans="2:3" x14ac:dyDescent="0.25">
      <c r="B19" s="179" t="s">
        <v>249</v>
      </c>
      <c r="C19" s="181"/>
    </row>
    <row r="20" spans="2:3" x14ac:dyDescent="0.25">
      <c r="B20" s="117" t="s">
        <v>242</v>
      </c>
      <c r="C20" s="212" t="str">
        <f>lagoon_sludge_temp_avg</f>
        <v>Empty</v>
      </c>
    </row>
    <row r="21" spans="2:3" x14ac:dyDescent="0.25">
      <c r="B21" s="117" t="s">
        <v>240</v>
      </c>
      <c r="C21" s="212">
        <f>abf_tower_temperature</f>
        <v>0</v>
      </c>
    </row>
    <row r="22" spans="2:3" x14ac:dyDescent="0.25">
      <c r="B22" s="117" t="s">
        <v>241</v>
      </c>
      <c r="C22" s="212">
        <f>aeration_basin_tempature</f>
        <v>0</v>
      </c>
    </row>
    <row r="23" spans="2:3" x14ac:dyDescent="0.25">
      <c r="C23" s="1"/>
    </row>
    <row r="24" spans="2:3" x14ac:dyDescent="0.25">
      <c r="B24" s="180" t="s">
        <v>250</v>
      </c>
      <c r="C24" s="182"/>
    </row>
    <row r="25" spans="2:3" x14ac:dyDescent="0.25">
      <c r="B25" s="177" t="s">
        <v>262</v>
      </c>
      <c r="C25" s="212" t="str">
        <f>paa_daily_avg</f>
        <v>Empty</v>
      </c>
    </row>
    <row r="26" spans="2:3" x14ac:dyDescent="0.25">
      <c r="B26" s="177" t="s">
        <v>263</v>
      </c>
      <c r="C26" s="212" t="str">
        <f>paa_post_avg</f>
        <v>Empty</v>
      </c>
    </row>
    <row r="27" spans="2:3" x14ac:dyDescent="0.25">
      <c r="C27" s="1"/>
    </row>
    <row r="28" spans="2:3" x14ac:dyDescent="0.25">
      <c r="B28" s="179" t="s">
        <v>251</v>
      </c>
      <c r="C28" s="181"/>
    </row>
    <row r="29" spans="2:3" x14ac:dyDescent="0.25">
      <c r="B29" s="117" t="s">
        <v>243</v>
      </c>
      <c r="C29" s="212" t="str">
        <f>aeration_basin_do_north_avg_handheld</f>
        <v>Empty</v>
      </c>
    </row>
    <row r="30" spans="2:3" x14ac:dyDescent="0.25">
      <c r="B30" s="117" t="s">
        <v>244</v>
      </c>
      <c r="C30" s="212" t="str">
        <f>aeration_basin_do_south_avg_handheld</f>
        <v>Empty</v>
      </c>
    </row>
    <row r="31" spans="2:3" x14ac:dyDescent="0.25">
      <c r="B31" s="117" t="s">
        <v>260</v>
      </c>
      <c r="C31" s="212" t="str">
        <f>aeration_basin_do_north_avg_probes</f>
        <v>Empty</v>
      </c>
    </row>
    <row r="32" spans="2:3" x14ac:dyDescent="0.25">
      <c r="B32" s="117" t="s">
        <v>259</v>
      </c>
      <c r="C32" s="212" t="str">
        <f>aeration_basin_do_south_avg_probes</f>
        <v>Empty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5"/>
  <sheetViews>
    <sheetView workbookViewId="0">
      <selection activeCell="C30" sqref="C30"/>
    </sheetView>
  </sheetViews>
  <sheetFormatPr defaultRowHeight="15" x14ac:dyDescent="0.25"/>
  <cols>
    <col min="1" max="1" width="13.42578125" bestFit="1" customWidth="1"/>
    <col min="2" max="2" width="18.28515625" bestFit="1" customWidth="1"/>
    <col min="3" max="3" width="15.42578125" bestFit="1" customWidth="1"/>
    <col min="5" max="5" width="15.5703125" bestFit="1" customWidth="1"/>
    <col min="6" max="6" width="10.85546875" bestFit="1" customWidth="1"/>
  </cols>
  <sheetData>
    <row r="1" spans="1:6" x14ac:dyDescent="0.25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/>
    </row>
    <row r="2" spans="1:6" x14ac:dyDescent="0.25">
      <c r="A2" s="2" t="e">
        <f>Various!#REF!</f>
        <v>#REF!</v>
      </c>
      <c r="B2" s="3" t="s">
        <v>116</v>
      </c>
      <c r="C2" t="str">
        <f>IF(Hourly!C3="","",Hourly!C3)</f>
        <v/>
      </c>
      <c r="D2" s="1" t="s">
        <v>117</v>
      </c>
      <c r="E2" s="1" t="s">
        <v>118</v>
      </c>
    </row>
    <row r="3" spans="1:6" x14ac:dyDescent="0.25">
      <c r="A3" s="2" t="e">
        <f>Various!#REF!</f>
        <v>#REF!</v>
      </c>
      <c r="B3" s="3" t="s">
        <v>119</v>
      </c>
      <c r="C3" t="str">
        <f>IF(Hourly!C5="","",Hourly!C5)</f>
        <v/>
      </c>
      <c r="D3" s="1" t="s">
        <v>117</v>
      </c>
      <c r="E3" s="1" t="s">
        <v>118</v>
      </c>
    </row>
    <row r="4" spans="1:6" x14ac:dyDescent="0.25">
      <c r="A4" s="2" t="e">
        <f>Various!#REF!</f>
        <v>#REF!</v>
      </c>
      <c r="B4" s="3" t="s">
        <v>120</v>
      </c>
      <c r="C4" t="e">
        <f>IF(Hourly!#REF!="","",Hourly!#REF!)</f>
        <v>#REF!</v>
      </c>
      <c r="D4" s="1" t="s">
        <v>117</v>
      </c>
      <c r="E4" s="1" t="s">
        <v>118</v>
      </c>
    </row>
    <row r="5" spans="1:6" x14ac:dyDescent="0.25">
      <c r="A5" s="2" t="e">
        <f>Various!#REF!</f>
        <v>#REF!</v>
      </c>
      <c r="B5" s="3" t="s">
        <v>121</v>
      </c>
      <c r="C5" t="str">
        <f>IF(Hourly!C6="","",Hourly!C6)</f>
        <v/>
      </c>
      <c r="D5" s="1" t="s">
        <v>117</v>
      </c>
      <c r="E5" s="1" t="s">
        <v>118</v>
      </c>
    </row>
    <row r="6" spans="1:6" x14ac:dyDescent="0.25">
      <c r="A6" s="2" t="e">
        <f>Various!#REF!</f>
        <v>#REF!</v>
      </c>
      <c r="B6" s="3" t="s">
        <v>122</v>
      </c>
      <c r="C6" t="str">
        <f>IF(Hourly!C7="","",Hourly!C7)</f>
        <v/>
      </c>
      <c r="D6" s="1" t="s">
        <v>117</v>
      </c>
      <c r="E6" s="1" t="s">
        <v>118</v>
      </c>
    </row>
    <row r="7" spans="1:6" x14ac:dyDescent="0.25">
      <c r="A7" s="2" t="e">
        <f>Various!#REF!</f>
        <v>#REF!</v>
      </c>
      <c r="B7" s="3" t="s">
        <v>123</v>
      </c>
      <c r="C7" t="str">
        <f>IF(Hourly!C8="","",Hourly!C8)</f>
        <v/>
      </c>
      <c r="D7" s="1" t="s">
        <v>117</v>
      </c>
      <c r="E7" s="1" t="s">
        <v>118</v>
      </c>
    </row>
    <row r="8" spans="1:6" x14ac:dyDescent="0.25">
      <c r="A8" s="2" t="e">
        <f>Various!#REF!</f>
        <v>#REF!</v>
      </c>
      <c r="B8" s="3" t="s">
        <v>124</v>
      </c>
      <c r="C8" t="str">
        <f>IF(Hourly!C9="","",Hourly!C9)</f>
        <v/>
      </c>
      <c r="D8" s="1" t="s">
        <v>117</v>
      </c>
      <c r="E8" s="1" t="s">
        <v>118</v>
      </c>
    </row>
    <row r="9" spans="1:6" x14ac:dyDescent="0.25">
      <c r="A9" s="2" t="e">
        <f>Various!#REF!</f>
        <v>#REF!</v>
      </c>
      <c r="B9" s="3" t="s">
        <v>125</v>
      </c>
      <c r="C9" t="str">
        <f>IF(Hourly!C10="","",Hourly!C10)</f>
        <v/>
      </c>
      <c r="D9" s="1" t="s">
        <v>117</v>
      </c>
      <c r="E9" s="1" t="s">
        <v>118</v>
      </c>
    </row>
    <row r="10" spans="1:6" x14ac:dyDescent="0.25">
      <c r="A10" s="2" t="e">
        <f>Various!#REF!</f>
        <v>#REF!</v>
      </c>
      <c r="B10" s="3" t="s">
        <v>126</v>
      </c>
      <c r="C10" t="str">
        <f>IF(Hourly!C11="","",Hourly!C11)</f>
        <v/>
      </c>
      <c r="D10" s="1" t="s">
        <v>117</v>
      </c>
      <c r="E10" s="1" t="s">
        <v>118</v>
      </c>
    </row>
    <row r="11" spans="1:6" x14ac:dyDescent="0.25">
      <c r="A11" s="2" t="e">
        <f>Various!#REF!</f>
        <v>#REF!</v>
      </c>
      <c r="B11" s="3" t="s">
        <v>127</v>
      </c>
      <c r="C11" t="str">
        <f>IF(Hourly!C12="","",Hourly!C12)</f>
        <v/>
      </c>
      <c r="D11" s="1" t="s">
        <v>117</v>
      </c>
      <c r="E11" s="1" t="s">
        <v>118</v>
      </c>
    </row>
    <row r="12" spans="1:6" x14ac:dyDescent="0.25">
      <c r="A12" s="2" t="e">
        <f>Various!#REF!</f>
        <v>#REF!</v>
      </c>
      <c r="B12" s="3" t="s">
        <v>128</v>
      </c>
      <c r="C12" t="str">
        <f>IF(Hourly!H35="","",Hourly!H35)</f>
        <v/>
      </c>
      <c r="D12" s="1" t="s">
        <v>117</v>
      </c>
      <c r="E12" s="1" t="s">
        <v>118</v>
      </c>
    </row>
    <row r="13" spans="1:6" x14ac:dyDescent="0.25">
      <c r="A13" s="2" t="e">
        <f>Various!#REF!</f>
        <v>#REF!</v>
      </c>
      <c r="B13" s="3" t="s">
        <v>129</v>
      </c>
      <c r="C13" t="e">
        <f>IF(Hourly!#REF!="","",Hourly!#REF!)</f>
        <v>#REF!</v>
      </c>
      <c r="D13" s="1" t="s">
        <v>117</v>
      </c>
      <c r="E13" s="1" t="s">
        <v>118</v>
      </c>
    </row>
    <row r="14" spans="1:6" x14ac:dyDescent="0.25">
      <c r="A14" s="2" t="e">
        <f>Various!#REF!</f>
        <v>#REF!</v>
      </c>
      <c r="B14" s="3" t="s">
        <v>130</v>
      </c>
      <c r="C14" t="str">
        <f>IF(Hourly!C14="","",Hourly!C14)</f>
        <v/>
      </c>
      <c r="D14" s="1" t="s">
        <v>117</v>
      </c>
      <c r="E14" s="1" t="s">
        <v>118</v>
      </c>
    </row>
    <row r="15" spans="1:6" x14ac:dyDescent="0.25">
      <c r="A15" s="2" t="e">
        <f>Various!#REF!</f>
        <v>#REF!</v>
      </c>
      <c r="B15" s="3" t="s">
        <v>131</v>
      </c>
      <c r="C15" t="str">
        <f>IF(Hourly!C16="","",Hourly!C16)</f>
        <v/>
      </c>
      <c r="D15" s="1" t="s">
        <v>117</v>
      </c>
      <c r="E15" s="1" t="s">
        <v>118</v>
      </c>
    </row>
    <row r="16" spans="1:6" x14ac:dyDescent="0.25">
      <c r="A16" s="2" t="e">
        <f>Various!#REF!</f>
        <v>#REF!</v>
      </c>
      <c r="B16" s="3" t="s">
        <v>132</v>
      </c>
      <c r="C16" t="str">
        <f>IF(Hourly!C17="","",Hourly!C17)</f>
        <v/>
      </c>
      <c r="D16" s="1" t="s">
        <v>117</v>
      </c>
      <c r="E16" s="1" t="s">
        <v>118</v>
      </c>
    </row>
    <row r="17" spans="1:5" x14ac:dyDescent="0.25">
      <c r="A17" s="2" t="e">
        <f>Various!#REF!</f>
        <v>#REF!</v>
      </c>
      <c r="B17" s="3" t="s">
        <v>133</v>
      </c>
      <c r="C17" t="str">
        <f>IF(Hourly!C18="","",Hourly!C18)</f>
        <v/>
      </c>
      <c r="D17" s="1" t="s">
        <v>117</v>
      </c>
      <c r="E17" s="1" t="s">
        <v>118</v>
      </c>
    </row>
    <row r="18" spans="1:5" x14ac:dyDescent="0.25">
      <c r="A18" s="2" t="e">
        <f>Various!#REF!</f>
        <v>#REF!</v>
      </c>
      <c r="B18" s="3" t="s">
        <v>134</v>
      </c>
      <c r="C18" t="str">
        <f>IF(Hourly!C19="","",Hourly!C19)</f>
        <v/>
      </c>
      <c r="D18" s="1" t="s">
        <v>117</v>
      </c>
      <c r="E18" s="1" t="s">
        <v>118</v>
      </c>
    </row>
    <row r="19" spans="1:5" x14ac:dyDescent="0.25">
      <c r="A19" s="2" t="e">
        <f>Various!#REF!</f>
        <v>#REF!</v>
      </c>
      <c r="B19" s="3" t="s">
        <v>135</v>
      </c>
      <c r="C19" t="str">
        <f>IF(Hourly!C20="","",Hourly!C20)</f>
        <v/>
      </c>
      <c r="D19" s="1" t="s">
        <v>117</v>
      </c>
      <c r="E19" s="1" t="s">
        <v>118</v>
      </c>
    </row>
    <row r="20" spans="1:5" x14ac:dyDescent="0.25">
      <c r="A20" s="2" t="e">
        <f>Various!#REF!</f>
        <v>#REF!</v>
      </c>
      <c r="B20" s="3" t="s">
        <v>136</v>
      </c>
      <c r="C20" t="str">
        <f>IF(Hourly!C21="","",Hourly!C21)</f>
        <v/>
      </c>
      <c r="D20" s="1" t="s">
        <v>117</v>
      </c>
      <c r="E20" s="1" t="s">
        <v>118</v>
      </c>
    </row>
    <row r="21" spans="1:5" x14ac:dyDescent="0.25">
      <c r="A21" s="2" t="e">
        <f>Various!#REF!</f>
        <v>#REF!</v>
      </c>
      <c r="B21" s="3" t="s">
        <v>137</v>
      </c>
      <c r="C21" t="str">
        <f>IF(Hourly!C22="","",Hourly!C22)</f>
        <v/>
      </c>
      <c r="D21" s="1" t="s">
        <v>117</v>
      </c>
      <c r="E21" s="1" t="s">
        <v>118</v>
      </c>
    </row>
    <row r="22" spans="1:5" x14ac:dyDescent="0.25">
      <c r="A22" s="2" t="e">
        <f>Various!#REF!</f>
        <v>#REF!</v>
      </c>
      <c r="B22" s="3" t="s">
        <v>138</v>
      </c>
      <c r="C22" t="str">
        <f>IF(Hourly!C23="","",Hourly!C23)</f>
        <v/>
      </c>
      <c r="D22" s="1" t="s">
        <v>117</v>
      </c>
      <c r="E22" s="1" t="s">
        <v>118</v>
      </c>
    </row>
    <row r="23" spans="1:5" x14ac:dyDescent="0.25">
      <c r="A23" s="2" t="e">
        <f>Various!#REF!</f>
        <v>#REF!</v>
      </c>
      <c r="B23" s="3" t="s">
        <v>139</v>
      </c>
      <c r="C23" t="str">
        <f>IF(Hourly!C24="","",Hourly!C24)</f>
        <v/>
      </c>
      <c r="D23" s="1" t="s">
        <v>117</v>
      </c>
      <c r="E23" s="1" t="s">
        <v>118</v>
      </c>
    </row>
    <row r="24" spans="1:5" x14ac:dyDescent="0.25">
      <c r="A24" s="2" t="e">
        <f>Various!#REF!</f>
        <v>#REF!</v>
      </c>
      <c r="B24" s="3" t="s">
        <v>140</v>
      </c>
      <c r="C24" t="str">
        <f>IF(Hourly!C25="","",Hourly!C25)</f>
        <v/>
      </c>
      <c r="D24" s="1" t="s">
        <v>117</v>
      </c>
      <c r="E24" s="1" t="s">
        <v>118</v>
      </c>
    </row>
    <row r="25" spans="1:5" x14ac:dyDescent="0.25">
      <c r="A25" s="2" t="e">
        <f>Various!#REF!</f>
        <v>#REF!</v>
      </c>
      <c r="B25" s="3" t="s">
        <v>141</v>
      </c>
      <c r="C25" t="str">
        <f>IF(Hourly!C26="","",Hourly!C26)</f>
        <v/>
      </c>
      <c r="D25" s="1" t="s">
        <v>117</v>
      </c>
      <c r="E25" s="1" t="s">
        <v>118</v>
      </c>
    </row>
  </sheetData>
  <phoneticPr fontId="5" type="noConversion"/>
  <pageMargins left="0.7" right="0.7" top="0.75" bottom="0.75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16"/>
  <sheetViews>
    <sheetView topLeftCell="A125" workbookViewId="0">
      <selection activeCell="I158" sqref="I158"/>
    </sheetView>
  </sheetViews>
  <sheetFormatPr defaultRowHeight="15" x14ac:dyDescent="0.25"/>
  <cols>
    <col min="1" max="1" width="13.42578125" bestFit="1" customWidth="1"/>
    <col min="2" max="2" width="24.5703125" bestFit="1" customWidth="1"/>
    <col min="3" max="3" width="15.42578125" bestFit="1" customWidth="1"/>
    <col min="4" max="4" width="18.5703125" bestFit="1" customWidth="1"/>
    <col min="5" max="5" width="27.85546875" bestFit="1" customWidth="1"/>
    <col min="7" max="7" width="14.85546875" bestFit="1" customWidth="1"/>
    <col min="8" max="8" width="13.85546875" bestFit="1" customWidth="1"/>
  </cols>
  <sheetData>
    <row r="1" spans="1:10" x14ac:dyDescent="0.25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63</v>
      </c>
      <c r="G1" s="1" t="s">
        <v>55</v>
      </c>
      <c r="H1" s="1" t="s">
        <v>142</v>
      </c>
      <c r="J1" s="1"/>
    </row>
    <row r="2" spans="1:10" x14ac:dyDescent="0.25">
      <c r="A2" s="2" t="e">
        <f>Various!#REF!</f>
        <v>#REF!</v>
      </c>
      <c r="B2" s="1" t="s">
        <v>143</v>
      </c>
      <c r="C2" s="1" t="str">
        <f>IF(Various!E4= "","",Various!E4)</f>
        <v/>
      </c>
      <c r="D2" s="1" t="s">
        <v>144</v>
      </c>
      <c r="E2" s="1" t="s">
        <v>145</v>
      </c>
      <c r="F2" s="1" t="e">
        <f t="shared" ref="F2:F37" si="0">IF(AND(G2&gt;=0.291,G2&lt;0.625),"7 to 3",IF(AND(G2&gt;=0.625,G2&lt;0.958334),"3 to 11",IF(G2&gt;=0.958334,"11 to 7",IF(G2&lt;0.291,"11 to 7",""))))</f>
        <v>#VALUE!</v>
      </c>
      <c r="G2" s="4" t="e">
        <f>VALUE(Various!$B$15)</f>
        <v>#VALUE!</v>
      </c>
    </row>
    <row r="3" spans="1:10" x14ac:dyDescent="0.25">
      <c r="A3" s="2" t="e">
        <f>Various!#REF!</f>
        <v>#REF!</v>
      </c>
      <c r="B3" s="1" t="s">
        <v>143</v>
      </c>
      <c r="C3" s="1" t="str">
        <f>IF(Various!D5= "","",Various!D5)</f>
        <v/>
      </c>
      <c r="D3" s="1" t="s">
        <v>144</v>
      </c>
      <c r="E3" s="1" t="s">
        <v>145</v>
      </c>
      <c r="F3" s="1" t="e">
        <f t="shared" si="0"/>
        <v>#VALUE!</v>
      </c>
      <c r="G3" s="4" t="e">
        <f>VALUE(Various!$B$5)</f>
        <v>#VALUE!</v>
      </c>
    </row>
    <row r="4" spans="1:10" x14ac:dyDescent="0.25">
      <c r="A4" s="2" t="e">
        <f>Various!#REF!</f>
        <v>#REF!</v>
      </c>
      <c r="B4" s="1" t="s">
        <v>143</v>
      </c>
      <c r="C4" s="1" t="str">
        <f>IF(Various!D6= "","",Various!D6)</f>
        <v/>
      </c>
      <c r="D4" s="1" t="s">
        <v>144</v>
      </c>
      <c r="E4" s="1" t="s">
        <v>145</v>
      </c>
      <c r="F4" s="1" t="e">
        <f t="shared" si="0"/>
        <v>#VALUE!</v>
      </c>
      <c r="G4" s="4" t="e">
        <f>VALUE(Various!$B$5)</f>
        <v>#VALUE!</v>
      </c>
    </row>
    <row r="5" spans="1:10" x14ac:dyDescent="0.25">
      <c r="A5" s="2" t="e">
        <f>Various!#REF!</f>
        <v>#REF!</v>
      </c>
      <c r="B5" s="1" t="s">
        <v>143</v>
      </c>
      <c r="C5" s="1" t="str">
        <f>IF(Various!G4= "","",Various!G4)</f>
        <v/>
      </c>
      <c r="D5" s="1" t="s">
        <v>144</v>
      </c>
      <c r="E5" s="1" t="s">
        <v>146</v>
      </c>
      <c r="F5" s="1" t="e">
        <f t="shared" si="0"/>
        <v>#VALUE!</v>
      </c>
      <c r="G5" s="4" t="e">
        <f>VALUE(Various!$B$15)</f>
        <v>#VALUE!</v>
      </c>
    </row>
    <row r="6" spans="1:10" x14ac:dyDescent="0.25">
      <c r="A6" s="2" t="e">
        <f>Various!#REF!</f>
        <v>#REF!</v>
      </c>
      <c r="B6" s="1" t="s">
        <v>143</v>
      </c>
      <c r="C6" s="1" t="str">
        <f>IF(Various!E5= "","",Various!E5)</f>
        <v/>
      </c>
      <c r="D6" s="1" t="s">
        <v>144</v>
      </c>
      <c r="E6" s="1" t="s">
        <v>146</v>
      </c>
      <c r="F6" s="1" t="e">
        <f t="shared" si="0"/>
        <v>#VALUE!</v>
      </c>
      <c r="G6" s="4" t="e">
        <f>VALUE(Various!$B$5)</f>
        <v>#VALUE!</v>
      </c>
    </row>
    <row r="7" spans="1:10" x14ac:dyDescent="0.25">
      <c r="A7" s="2" t="e">
        <f>Various!#REF!</f>
        <v>#REF!</v>
      </c>
      <c r="B7" s="1" t="s">
        <v>143</v>
      </c>
      <c r="C7" s="1" t="str">
        <f>IF(Various!E6= "","",Various!E6)</f>
        <v/>
      </c>
      <c r="D7" s="1" t="s">
        <v>144</v>
      </c>
      <c r="E7" s="1" t="s">
        <v>146</v>
      </c>
      <c r="F7" s="1" t="e">
        <f t="shared" si="0"/>
        <v>#VALUE!</v>
      </c>
      <c r="G7" s="4" t="e">
        <f>VALUE(Various!$B$5)</f>
        <v>#VALUE!</v>
      </c>
    </row>
    <row r="8" spans="1:10" x14ac:dyDescent="0.25">
      <c r="A8" s="2" t="e">
        <f>Various!#REF!</f>
        <v>#REF!</v>
      </c>
      <c r="B8" s="1" t="s">
        <v>143</v>
      </c>
      <c r="C8" s="1" t="e">
        <f>IF(Various!#REF!= "","",Various!#REF!)</f>
        <v>#REF!</v>
      </c>
      <c r="D8" s="1" t="s">
        <v>144</v>
      </c>
      <c r="E8" s="1" t="s">
        <v>147</v>
      </c>
      <c r="F8" s="1" t="e">
        <f t="shared" si="0"/>
        <v>#VALUE!</v>
      </c>
      <c r="G8" s="4" t="e">
        <f>VALUE(Various!$B$15)</f>
        <v>#VALUE!</v>
      </c>
    </row>
    <row r="9" spans="1:10" x14ac:dyDescent="0.25">
      <c r="A9" s="2" t="e">
        <f>Various!#REF!</f>
        <v>#REF!</v>
      </c>
      <c r="B9" s="1" t="s">
        <v>143</v>
      </c>
      <c r="C9" s="1" t="str">
        <f>IF(Various!F5= "","",Various!F5)</f>
        <v/>
      </c>
      <c r="D9" s="1" t="s">
        <v>144</v>
      </c>
      <c r="E9" s="1" t="s">
        <v>147</v>
      </c>
      <c r="F9" s="1" t="e">
        <f t="shared" si="0"/>
        <v>#VALUE!</v>
      </c>
      <c r="G9" s="4" t="e">
        <f>VALUE(Various!$B$5)</f>
        <v>#VALUE!</v>
      </c>
    </row>
    <row r="10" spans="1:10" x14ac:dyDescent="0.25">
      <c r="A10" s="2" t="e">
        <f>Various!#REF!</f>
        <v>#REF!</v>
      </c>
      <c r="B10" s="1" t="s">
        <v>143</v>
      </c>
      <c r="C10" s="1" t="str">
        <f>IF(Various!F6= "","",Various!F6)</f>
        <v/>
      </c>
      <c r="D10" s="1" t="s">
        <v>144</v>
      </c>
      <c r="E10" s="1" t="s">
        <v>147</v>
      </c>
      <c r="F10" s="1" t="e">
        <f t="shared" si="0"/>
        <v>#VALUE!</v>
      </c>
      <c r="G10" s="4" t="e">
        <f>VALUE(Various!$B$5)</f>
        <v>#VALUE!</v>
      </c>
    </row>
    <row r="11" spans="1:10" x14ac:dyDescent="0.25">
      <c r="A11" s="2" t="e">
        <f>Various!#REF!</f>
        <v>#REF!</v>
      </c>
      <c r="B11" s="1" t="s">
        <v>143</v>
      </c>
      <c r="C11" s="1" t="str">
        <f>IF(Various!F7= "","",Various!F7)</f>
        <v/>
      </c>
      <c r="D11" s="1" t="s">
        <v>144</v>
      </c>
      <c r="E11" s="1" t="s">
        <v>148</v>
      </c>
      <c r="F11" s="1" t="e">
        <f t="shared" si="0"/>
        <v>#VALUE!</v>
      </c>
      <c r="G11" s="4" t="e">
        <f>VALUE(Various!$B$15)</f>
        <v>#VALUE!</v>
      </c>
    </row>
    <row r="12" spans="1:10" x14ac:dyDescent="0.25">
      <c r="A12" s="2" t="e">
        <f>Various!#REF!</f>
        <v>#REF!</v>
      </c>
      <c r="B12" s="1" t="s">
        <v>143</v>
      </c>
      <c r="C12" s="1" t="str">
        <f>IF(Various!G5= "","",Various!G5)</f>
        <v/>
      </c>
      <c r="D12" s="1" t="s">
        <v>144</v>
      </c>
      <c r="E12" s="1" t="s">
        <v>148</v>
      </c>
      <c r="F12" s="1" t="e">
        <f t="shared" si="0"/>
        <v>#VALUE!</v>
      </c>
      <c r="G12" s="4" t="e">
        <f>VALUE(Various!$B$5)</f>
        <v>#VALUE!</v>
      </c>
    </row>
    <row r="13" spans="1:10" x14ac:dyDescent="0.25">
      <c r="A13" s="2" t="e">
        <f>Various!#REF!</f>
        <v>#REF!</v>
      </c>
      <c r="B13" s="1" t="s">
        <v>143</v>
      </c>
      <c r="C13" s="1" t="str">
        <f>IF(Various!G6= "","",Various!G6)</f>
        <v/>
      </c>
      <c r="D13" s="1" t="s">
        <v>144</v>
      </c>
      <c r="E13" s="1" t="s">
        <v>148</v>
      </c>
      <c r="F13" s="1" t="e">
        <f t="shared" si="0"/>
        <v>#VALUE!</v>
      </c>
      <c r="G13" s="4" t="e">
        <f>VALUE(Various!$B$5)</f>
        <v>#VALUE!</v>
      </c>
    </row>
    <row r="14" spans="1:10" x14ac:dyDescent="0.25">
      <c r="A14" s="2" t="e">
        <f>Various!#REF!</f>
        <v>#REF!</v>
      </c>
      <c r="B14" s="1" t="s">
        <v>143</v>
      </c>
      <c r="C14" s="1" t="str">
        <f>IF(Various!E15="","",Various!E15)</f>
        <v/>
      </c>
      <c r="D14" s="1" t="s">
        <v>144</v>
      </c>
      <c r="E14" s="1" t="s">
        <v>149</v>
      </c>
      <c r="F14" s="1" t="str">
        <f t="shared" si="0"/>
        <v>11 to 7</v>
      </c>
      <c r="G14" s="4">
        <f>VALUE(Various!$B$7)</f>
        <v>0</v>
      </c>
    </row>
    <row r="15" spans="1:10" x14ac:dyDescent="0.25">
      <c r="A15" s="2" t="e">
        <f>Various!#REF!</f>
        <v>#REF!</v>
      </c>
      <c r="B15" s="1" t="s">
        <v>143</v>
      </c>
      <c r="C15" s="1" t="str">
        <f>IF(Various!D15="","",Various!D15)</f>
        <v/>
      </c>
      <c r="D15" s="1" t="s">
        <v>144</v>
      </c>
      <c r="E15" s="1" t="s">
        <v>149</v>
      </c>
      <c r="F15" s="1" t="s">
        <v>150</v>
      </c>
      <c r="G15" s="4" t="e">
        <f>VALUE(Various!$B$17)</f>
        <v>#VALUE!</v>
      </c>
    </row>
    <row r="16" spans="1:10" x14ac:dyDescent="0.25">
      <c r="A16" s="2" t="e">
        <f>Various!#REF!</f>
        <v>#REF!</v>
      </c>
      <c r="B16" s="1" t="s">
        <v>143</v>
      </c>
      <c r="C16" s="1" t="str">
        <f>IF(Various!D17="","",Various!D17)</f>
        <v/>
      </c>
      <c r="D16" s="1" t="s">
        <v>144</v>
      </c>
      <c r="E16" s="1" t="s">
        <v>149</v>
      </c>
      <c r="F16" s="1" t="e">
        <f t="shared" si="0"/>
        <v>#VALUE!</v>
      </c>
      <c r="G16" s="4" t="e">
        <f>VALUE(Various!$B$17)</f>
        <v>#VALUE!</v>
      </c>
    </row>
    <row r="17" spans="1:7" x14ac:dyDescent="0.25">
      <c r="A17" s="2" t="e">
        <f>Various!#REF!</f>
        <v>#REF!</v>
      </c>
      <c r="B17" s="1" t="s">
        <v>143</v>
      </c>
      <c r="C17" s="1" t="str">
        <f>IF(Various!E15="","",Various!E15)</f>
        <v/>
      </c>
      <c r="D17" s="1" t="s">
        <v>144</v>
      </c>
      <c r="E17" s="1" t="s">
        <v>151</v>
      </c>
      <c r="F17" s="1" t="e">
        <f t="shared" si="0"/>
        <v>#VALUE!</v>
      </c>
      <c r="G17" s="4" t="e">
        <f>VALUE(Various!$B$17)</f>
        <v>#VALUE!</v>
      </c>
    </row>
    <row r="18" spans="1:7" x14ac:dyDescent="0.25">
      <c r="A18" s="2" t="e">
        <f>Various!#REF!</f>
        <v>#REF!</v>
      </c>
      <c r="B18" s="1" t="s">
        <v>143</v>
      </c>
      <c r="C18" s="1" t="str">
        <f>IF(Various!E16="","",Various!E16)</f>
        <v/>
      </c>
      <c r="D18" s="1" t="s">
        <v>144</v>
      </c>
      <c r="E18" s="1" t="s">
        <v>151</v>
      </c>
      <c r="F18" s="1" t="s">
        <v>150</v>
      </c>
      <c r="G18" s="4" t="e">
        <f>VALUE(Various!$B$17)</f>
        <v>#VALUE!</v>
      </c>
    </row>
    <row r="19" spans="1:7" x14ac:dyDescent="0.25">
      <c r="A19" s="2" t="e">
        <f>Various!#REF!</f>
        <v>#REF!</v>
      </c>
      <c r="B19" s="1" t="s">
        <v>143</v>
      </c>
      <c r="C19" s="1" t="str">
        <f>IF(Various!E17="","",Various!E17)</f>
        <v/>
      </c>
      <c r="D19" s="1" t="s">
        <v>144</v>
      </c>
      <c r="E19" s="1" t="s">
        <v>151</v>
      </c>
      <c r="F19" s="1" t="e">
        <f t="shared" si="0"/>
        <v>#VALUE!</v>
      </c>
      <c r="G19" s="4" t="e">
        <f>VALUE(Various!$B$17)</f>
        <v>#VALUE!</v>
      </c>
    </row>
    <row r="20" spans="1:7" x14ac:dyDescent="0.25">
      <c r="A20" s="2" t="e">
        <f>Various!#REF!</f>
        <v>#REF!</v>
      </c>
      <c r="B20" s="1" t="s">
        <v>143</v>
      </c>
      <c r="C20" s="1" t="str">
        <f>IF(Various!F15="","",Various!F15)</f>
        <v/>
      </c>
      <c r="D20" s="1" t="s">
        <v>144</v>
      </c>
      <c r="E20" s="1" t="s">
        <v>152</v>
      </c>
      <c r="F20" s="1" t="e">
        <f t="shared" si="0"/>
        <v>#VALUE!</v>
      </c>
      <c r="G20" s="4" t="e">
        <f>VALUE(Various!$B$17)</f>
        <v>#VALUE!</v>
      </c>
    </row>
    <row r="21" spans="1:7" x14ac:dyDescent="0.25">
      <c r="A21" s="2" t="e">
        <f>Various!#REF!</f>
        <v>#REF!</v>
      </c>
      <c r="B21" s="1" t="s">
        <v>143</v>
      </c>
      <c r="C21" s="1" t="str">
        <f>IF(Various!F16="","",Various!F16)</f>
        <v/>
      </c>
      <c r="D21" s="1" t="s">
        <v>144</v>
      </c>
      <c r="E21" s="1" t="s">
        <v>152</v>
      </c>
      <c r="F21" s="1" t="s">
        <v>150</v>
      </c>
      <c r="G21" s="4" t="e">
        <f>VALUE(Various!$B$17)</f>
        <v>#VALUE!</v>
      </c>
    </row>
    <row r="22" spans="1:7" x14ac:dyDescent="0.25">
      <c r="A22" s="2" t="e">
        <f>Various!#REF!</f>
        <v>#REF!</v>
      </c>
      <c r="B22" s="1" t="s">
        <v>143</v>
      </c>
      <c r="C22" s="1" t="str">
        <f>IF(Various!G17="","",Various!G17)</f>
        <v/>
      </c>
      <c r="D22" s="1" t="s">
        <v>144</v>
      </c>
      <c r="E22" s="1" t="s">
        <v>152</v>
      </c>
      <c r="F22" s="1" t="e">
        <f t="shared" si="0"/>
        <v>#VALUE!</v>
      </c>
      <c r="G22" s="4" t="e">
        <f>VALUE(Various!$B$17)</f>
        <v>#VALUE!</v>
      </c>
    </row>
    <row r="23" spans="1:7" x14ac:dyDescent="0.25">
      <c r="A23" s="2" t="e">
        <f>Various!#REF!</f>
        <v>#REF!</v>
      </c>
      <c r="B23" s="1" t="s">
        <v>143</v>
      </c>
      <c r="C23" s="1" t="str">
        <f>IF(Various!G15="","",Various!G15)</f>
        <v/>
      </c>
      <c r="D23" s="1" t="s">
        <v>144</v>
      </c>
      <c r="E23" s="1" t="s">
        <v>153</v>
      </c>
      <c r="F23" s="1" t="e">
        <f t="shared" si="0"/>
        <v>#VALUE!</v>
      </c>
      <c r="G23" s="4" t="e">
        <f>VALUE(Various!$B$17)</f>
        <v>#VALUE!</v>
      </c>
    </row>
    <row r="24" spans="1:7" x14ac:dyDescent="0.25">
      <c r="A24" s="2" t="e">
        <f>Various!#REF!</f>
        <v>#REF!</v>
      </c>
      <c r="B24" s="1" t="s">
        <v>143</v>
      </c>
      <c r="C24" s="1" t="str">
        <f>IF(Various!G16="","",Various!G16)</f>
        <v/>
      </c>
      <c r="D24" s="1" t="s">
        <v>144</v>
      </c>
      <c r="E24" s="1" t="s">
        <v>153</v>
      </c>
      <c r="F24" s="1" t="s">
        <v>150</v>
      </c>
      <c r="G24" s="4" t="e">
        <f>VALUE(Various!$B$17)</f>
        <v>#VALUE!</v>
      </c>
    </row>
    <row r="25" spans="1:7" x14ac:dyDescent="0.25">
      <c r="A25" s="2" t="e">
        <f>Various!#REF!</f>
        <v>#REF!</v>
      </c>
      <c r="B25" s="1" t="s">
        <v>143</v>
      </c>
      <c r="C25" s="1" t="e">
        <f>IF(Various!#REF!="","",Various!#REF!)</f>
        <v>#REF!</v>
      </c>
      <c r="D25" s="1" t="s">
        <v>144</v>
      </c>
      <c r="E25" s="1" t="s">
        <v>153</v>
      </c>
      <c r="F25" s="1" t="e">
        <f t="shared" si="0"/>
        <v>#VALUE!</v>
      </c>
      <c r="G25" s="4" t="e">
        <f>VALUE(Various!$B$17)</f>
        <v>#VALUE!</v>
      </c>
    </row>
    <row r="26" spans="1:7" x14ac:dyDescent="0.25">
      <c r="A26" s="2" t="e">
        <f>Various!#REF!</f>
        <v>#REF!</v>
      </c>
      <c r="B26" s="1" t="s">
        <v>143</v>
      </c>
      <c r="C26" s="1" t="str">
        <f>IF(Various!I15="","",Various!I15)</f>
        <v/>
      </c>
      <c r="D26" s="1" t="s">
        <v>144</v>
      </c>
      <c r="E26" s="1" t="s">
        <v>154</v>
      </c>
      <c r="F26" s="1" t="e">
        <f t="shared" si="0"/>
        <v>#VALUE!</v>
      </c>
      <c r="G26" s="4" t="e">
        <f>VALUE(Various!$B$17)</f>
        <v>#VALUE!</v>
      </c>
    </row>
    <row r="27" spans="1:7" x14ac:dyDescent="0.25">
      <c r="A27" s="2" t="e">
        <f>Various!#REF!</f>
        <v>#REF!</v>
      </c>
      <c r="B27" s="1" t="s">
        <v>143</v>
      </c>
      <c r="C27" s="1" t="str">
        <f>IF(Various!I16="","",Various!I16)</f>
        <v/>
      </c>
      <c r="D27" s="1" t="s">
        <v>144</v>
      </c>
      <c r="E27" s="1" t="s">
        <v>154</v>
      </c>
      <c r="F27" s="1" t="s">
        <v>150</v>
      </c>
      <c r="G27" s="4" t="e">
        <f>VALUE(Various!$B$17)</f>
        <v>#VALUE!</v>
      </c>
    </row>
    <row r="28" spans="1:7" x14ac:dyDescent="0.25">
      <c r="A28" s="2" t="e">
        <f>Various!#REF!</f>
        <v>#REF!</v>
      </c>
      <c r="B28" s="1" t="s">
        <v>143</v>
      </c>
      <c r="C28" s="1" t="str">
        <f>IF(Various!I17="","",Various!I17)</f>
        <v/>
      </c>
      <c r="D28" s="1" t="s">
        <v>144</v>
      </c>
      <c r="E28" s="1" t="s">
        <v>154</v>
      </c>
      <c r="F28" s="1" t="e">
        <f t="shared" si="0"/>
        <v>#VALUE!</v>
      </c>
      <c r="G28" s="4" t="e">
        <f>VALUE(Various!$B$17)</f>
        <v>#VALUE!</v>
      </c>
    </row>
    <row r="29" spans="1:7" x14ac:dyDescent="0.25">
      <c r="A29" s="2" t="e">
        <f>Various!#REF!</f>
        <v>#REF!</v>
      </c>
      <c r="B29" s="1" t="s">
        <v>143</v>
      </c>
      <c r="C29" s="1" t="str">
        <f>IF(Various!K15="","",Various!K15)</f>
        <v/>
      </c>
      <c r="D29" s="1" t="s">
        <v>144</v>
      </c>
      <c r="E29" s="1" t="s">
        <v>155</v>
      </c>
      <c r="F29" s="1" t="e">
        <f t="shared" si="0"/>
        <v>#VALUE!</v>
      </c>
      <c r="G29" s="4" t="e">
        <f>VALUE(Various!$B$17)</f>
        <v>#VALUE!</v>
      </c>
    </row>
    <row r="30" spans="1:7" x14ac:dyDescent="0.25">
      <c r="A30" s="2" t="e">
        <f>Various!#REF!</f>
        <v>#REF!</v>
      </c>
      <c r="B30" s="1" t="s">
        <v>143</v>
      </c>
      <c r="C30" s="1" t="str">
        <f>IF(Various!J16="","",Various!J16)</f>
        <v/>
      </c>
      <c r="D30" s="1" t="s">
        <v>144</v>
      </c>
      <c r="E30" s="1" t="s">
        <v>155</v>
      </c>
      <c r="F30" s="1" t="s">
        <v>150</v>
      </c>
      <c r="G30" s="4" t="e">
        <f>VALUE(Various!$B$17)</f>
        <v>#VALUE!</v>
      </c>
    </row>
    <row r="31" spans="1:7" x14ac:dyDescent="0.25">
      <c r="A31" s="2" t="e">
        <f>Various!#REF!</f>
        <v>#REF!</v>
      </c>
      <c r="B31" s="1" t="s">
        <v>143</v>
      </c>
      <c r="C31" s="1" t="str">
        <f>IF(Various!J17="","",Various!J17)</f>
        <v/>
      </c>
      <c r="D31" s="1" t="s">
        <v>144</v>
      </c>
      <c r="E31" s="1" t="s">
        <v>155</v>
      </c>
      <c r="F31" s="1" t="e">
        <f t="shared" si="0"/>
        <v>#VALUE!</v>
      </c>
      <c r="G31" s="4" t="e">
        <f>VALUE(Various!$B$17)</f>
        <v>#VALUE!</v>
      </c>
    </row>
    <row r="32" spans="1:7" x14ac:dyDescent="0.25">
      <c r="A32" s="2" t="e">
        <f>Various!#REF!</f>
        <v>#REF!</v>
      </c>
      <c r="B32" s="1" t="s">
        <v>143</v>
      </c>
      <c r="C32" s="1" t="str">
        <f>IF(Various!K15="","",Various!K15)</f>
        <v/>
      </c>
      <c r="D32" s="1" t="s">
        <v>144</v>
      </c>
      <c r="E32" s="1" t="s">
        <v>156</v>
      </c>
      <c r="F32" s="1" t="e">
        <f t="shared" si="0"/>
        <v>#VALUE!</v>
      </c>
      <c r="G32" s="4" t="e">
        <f>VALUE(Various!$B$17)</f>
        <v>#VALUE!</v>
      </c>
    </row>
    <row r="33" spans="1:7" x14ac:dyDescent="0.25">
      <c r="A33" s="2" t="e">
        <f>Various!#REF!</f>
        <v>#REF!</v>
      </c>
      <c r="B33" s="1" t="s">
        <v>143</v>
      </c>
      <c r="C33" s="1" t="str">
        <f>IF(Various!K16="","",Various!K16)</f>
        <v/>
      </c>
      <c r="D33" s="1" t="s">
        <v>144</v>
      </c>
      <c r="E33" s="1" t="s">
        <v>156</v>
      </c>
      <c r="F33" s="1" t="s">
        <v>150</v>
      </c>
      <c r="G33" s="4" t="e">
        <f>VALUE(Various!$B$17)</f>
        <v>#VALUE!</v>
      </c>
    </row>
    <row r="34" spans="1:7" x14ac:dyDescent="0.25">
      <c r="A34" s="2" t="e">
        <f>Various!#REF!</f>
        <v>#REF!</v>
      </c>
      <c r="B34" s="1" t="s">
        <v>143</v>
      </c>
      <c r="C34" s="1" t="str">
        <f>IF(Various!K17="","",Various!K17)</f>
        <v/>
      </c>
      <c r="D34" s="1" t="s">
        <v>144</v>
      </c>
      <c r="E34" s="1" t="s">
        <v>156</v>
      </c>
      <c r="F34" s="1" t="e">
        <f t="shared" si="0"/>
        <v>#VALUE!</v>
      </c>
      <c r="G34" s="4" t="e">
        <f>VALUE(Various!$B$17)</f>
        <v>#VALUE!</v>
      </c>
    </row>
    <row r="35" spans="1:7" x14ac:dyDescent="0.25">
      <c r="A35" s="2" t="e">
        <f>Various!#REF!</f>
        <v>#REF!</v>
      </c>
      <c r="B35" s="1" t="s">
        <v>143</v>
      </c>
      <c r="C35" s="1" t="str">
        <f>IF(Various!L15="","",Various!L15)</f>
        <v/>
      </c>
      <c r="D35" s="1" t="s">
        <v>144</v>
      </c>
      <c r="E35" s="1" t="s">
        <v>157</v>
      </c>
      <c r="F35" s="1" t="e">
        <f t="shared" si="0"/>
        <v>#VALUE!</v>
      </c>
      <c r="G35" s="4" t="e">
        <f>VALUE(Various!$B$17)</f>
        <v>#VALUE!</v>
      </c>
    </row>
    <row r="36" spans="1:7" x14ac:dyDescent="0.25">
      <c r="A36" s="2" t="e">
        <f>Various!#REF!</f>
        <v>#REF!</v>
      </c>
      <c r="B36" s="1" t="s">
        <v>143</v>
      </c>
      <c r="C36" s="1" t="str">
        <f>IF(Various!L16="","",Various!L16)</f>
        <v/>
      </c>
      <c r="D36" s="1" t="s">
        <v>144</v>
      </c>
      <c r="E36" s="1" t="s">
        <v>157</v>
      </c>
      <c r="F36" s="1" t="s">
        <v>150</v>
      </c>
      <c r="G36" s="4" t="e">
        <f>VALUE(Various!$B$17)</f>
        <v>#VALUE!</v>
      </c>
    </row>
    <row r="37" spans="1:7" x14ac:dyDescent="0.25">
      <c r="A37" s="2" t="e">
        <f>Various!#REF!</f>
        <v>#REF!</v>
      </c>
      <c r="B37" s="1" t="s">
        <v>143</v>
      </c>
      <c r="C37" s="1" t="str">
        <f>IF(Various!L17="","",Various!L17)</f>
        <v/>
      </c>
      <c r="D37" s="1" t="s">
        <v>144</v>
      </c>
      <c r="E37" s="1" t="s">
        <v>157</v>
      </c>
      <c r="F37" s="1" t="e">
        <f t="shared" si="0"/>
        <v>#VALUE!</v>
      </c>
      <c r="G37" s="4" t="e">
        <f>VALUE(Various!$B$17)</f>
        <v>#VALUE!</v>
      </c>
    </row>
    <row r="38" spans="1:7" x14ac:dyDescent="0.25">
      <c r="A38" s="2" t="e">
        <f>Various!#REF!</f>
        <v>#REF!</v>
      </c>
      <c r="B38" s="1" t="s">
        <v>158</v>
      </c>
      <c r="C38" s="1"/>
      <c r="D38" s="1"/>
      <c r="E38" s="1" t="s">
        <v>159</v>
      </c>
      <c r="F38" s="7" t="s">
        <v>150</v>
      </c>
      <c r="G38" s="4">
        <f ca="1">NOW()-ROUNDDOWN(NOW(),0)</f>
        <v>0.70812858796125511</v>
      </c>
    </row>
    <row r="39" spans="1:7" x14ac:dyDescent="0.25">
      <c r="A39" s="2" t="e">
        <f>Various!#REF!</f>
        <v>#REF!</v>
      </c>
      <c r="B39" s="1" t="s">
        <v>158</v>
      </c>
      <c r="C39" s="1"/>
      <c r="E39" s="1" t="s">
        <v>159</v>
      </c>
      <c r="F39" s="1" t="s">
        <v>160</v>
      </c>
      <c r="G39" s="4">
        <f t="shared" ref="G39:G82" ca="1" si="1">NOW()-ROUNDDOWN(NOW(),0)</f>
        <v>0.70812858796125511</v>
      </c>
    </row>
    <row r="40" spans="1:7" x14ac:dyDescent="0.25">
      <c r="A40" s="2" t="e">
        <f>Various!#REF!</f>
        <v>#REF!</v>
      </c>
      <c r="B40" s="1" t="s">
        <v>158</v>
      </c>
      <c r="C40" s="1"/>
      <c r="E40" s="1" t="s">
        <v>159</v>
      </c>
      <c r="F40" s="1" t="s">
        <v>161</v>
      </c>
      <c r="G40" s="4">
        <f t="shared" ca="1" si="1"/>
        <v>0.70812858796125511</v>
      </c>
    </row>
    <row r="41" spans="1:7" x14ac:dyDescent="0.25">
      <c r="A41" s="2" t="e">
        <f>Various!#REF!</f>
        <v>#REF!</v>
      </c>
      <c r="B41" s="1" t="s">
        <v>158</v>
      </c>
      <c r="C41" s="1"/>
      <c r="E41" s="1" t="s">
        <v>162</v>
      </c>
      <c r="F41" s="7" t="s">
        <v>150</v>
      </c>
      <c r="G41" s="4">
        <f t="shared" ca="1" si="1"/>
        <v>0.70812858796125511</v>
      </c>
    </row>
    <row r="42" spans="1:7" x14ac:dyDescent="0.25">
      <c r="A42" s="2" t="e">
        <f>Various!#REF!</f>
        <v>#REF!</v>
      </c>
      <c r="B42" s="1" t="s">
        <v>158</v>
      </c>
      <c r="C42" s="1"/>
      <c r="D42" s="1"/>
      <c r="E42" s="1" t="s">
        <v>162</v>
      </c>
      <c r="F42" s="1" t="s">
        <v>160</v>
      </c>
      <c r="G42" s="4">
        <f t="shared" ca="1" si="1"/>
        <v>0.70812858796125511</v>
      </c>
    </row>
    <row r="43" spans="1:7" x14ac:dyDescent="0.25">
      <c r="A43" s="2" t="e">
        <f>Various!#REF!</f>
        <v>#REF!</v>
      </c>
      <c r="B43" s="1" t="s">
        <v>158</v>
      </c>
      <c r="C43" s="1"/>
      <c r="D43" s="1"/>
      <c r="E43" s="1" t="s">
        <v>162</v>
      </c>
      <c r="F43" s="1" t="s">
        <v>161</v>
      </c>
      <c r="G43" s="4">
        <f t="shared" ca="1" si="1"/>
        <v>0.70812858796125511</v>
      </c>
    </row>
    <row r="44" spans="1:7" x14ac:dyDescent="0.25">
      <c r="A44" s="2" t="e">
        <f>Various!#REF!</f>
        <v>#REF!</v>
      </c>
      <c r="B44" s="1" t="s">
        <v>158</v>
      </c>
      <c r="C44" s="1"/>
      <c r="D44" s="1"/>
      <c r="E44" s="1" t="s">
        <v>163</v>
      </c>
      <c r="F44" s="7" t="s">
        <v>150</v>
      </c>
      <c r="G44" s="4">
        <f t="shared" ca="1" si="1"/>
        <v>0.70812858796125511</v>
      </c>
    </row>
    <row r="45" spans="1:7" x14ac:dyDescent="0.25">
      <c r="A45" s="2" t="e">
        <f>Various!#REF!</f>
        <v>#REF!</v>
      </c>
      <c r="B45" s="1" t="s">
        <v>158</v>
      </c>
      <c r="C45" s="1"/>
      <c r="D45" s="1"/>
      <c r="E45" s="1" t="s">
        <v>163</v>
      </c>
      <c r="F45" s="1" t="s">
        <v>160</v>
      </c>
      <c r="G45" s="4">
        <f t="shared" ca="1" si="1"/>
        <v>0.70812858796125511</v>
      </c>
    </row>
    <row r="46" spans="1:7" x14ac:dyDescent="0.25">
      <c r="A46" s="2" t="e">
        <f>Various!#REF!</f>
        <v>#REF!</v>
      </c>
      <c r="B46" s="1" t="s">
        <v>158</v>
      </c>
      <c r="C46" s="1"/>
      <c r="D46" s="1"/>
      <c r="E46" s="1" t="s">
        <v>163</v>
      </c>
      <c r="F46" s="1" t="s">
        <v>161</v>
      </c>
      <c r="G46" s="4">
        <f t="shared" ca="1" si="1"/>
        <v>0.70812858796125511</v>
      </c>
    </row>
    <row r="47" spans="1:7" x14ac:dyDescent="0.25">
      <c r="A47" s="2" t="e">
        <f>Various!#REF!</f>
        <v>#REF!</v>
      </c>
      <c r="B47" s="1" t="s">
        <v>158</v>
      </c>
      <c r="C47" s="1"/>
      <c r="D47" s="1"/>
      <c r="E47" s="1" t="s">
        <v>164</v>
      </c>
      <c r="F47" s="7" t="s">
        <v>150</v>
      </c>
      <c r="G47" s="4">
        <f t="shared" ca="1" si="1"/>
        <v>0.70812858796125511</v>
      </c>
    </row>
    <row r="48" spans="1:7" x14ac:dyDescent="0.25">
      <c r="A48" s="2" t="e">
        <f>Various!#REF!</f>
        <v>#REF!</v>
      </c>
      <c r="B48" s="1" t="s">
        <v>158</v>
      </c>
      <c r="C48" s="1"/>
      <c r="D48" s="1"/>
      <c r="E48" s="1" t="s">
        <v>164</v>
      </c>
      <c r="F48" s="1" t="s">
        <v>160</v>
      </c>
      <c r="G48" s="4">
        <f t="shared" ca="1" si="1"/>
        <v>0.70812858796125511</v>
      </c>
    </row>
    <row r="49" spans="1:7" x14ac:dyDescent="0.25">
      <c r="A49" s="2" t="e">
        <f>Various!#REF!</f>
        <v>#REF!</v>
      </c>
      <c r="B49" s="1" t="s">
        <v>158</v>
      </c>
      <c r="C49" s="1"/>
      <c r="D49" s="1"/>
      <c r="E49" s="1" t="s">
        <v>164</v>
      </c>
      <c r="F49" s="1" t="s">
        <v>161</v>
      </c>
      <c r="G49" s="4">
        <f t="shared" ca="1" si="1"/>
        <v>0.70812858796125511</v>
      </c>
    </row>
    <row r="50" spans="1:7" x14ac:dyDescent="0.25">
      <c r="A50" s="2" t="e">
        <f>Various!#REF!</f>
        <v>#REF!</v>
      </c>
      <c r="B50" s="1" t="s">
        <v>158</v>
      </c>
      <c r="C50" s="1"/>
      <c r="E50" s="1" t="s">
        <v>165</v>
      </c>
      <c r="F50" s="7" t="s">
        <v>150</v>
      </c>
      <c r="G50" s="4">
        <f t="shared" ca="1" si="1"/>
        <v>0.70812858796125511</v>
      </c>
    </row>
    <row r="51" spans="1:7" x14ac:dyDescent="0.25">
      <c r="A51" s="2" t="e">
        <f>Various!#REF!</f>
        <v>#REF!</v>
      </c>
      <c r="B51" s="1" t="s">
        <v>158</v>
      </c>
      <c r="C51" s="1"/>
      <c r="E51" s="1" t="s">
        <v>165</v>
      </c>
      <c r="F51" s="1" t="s">
        <v>160</v>
      </c>
      <c r="G51" s="4">
        <f t="shared" ca="1" si="1"/>
        <v>0.70812858796125511</v>
      </c>
    </row>
    <row r="52" spans="1:7" x14ac:dyDescent="0.25">
      <c r="A52" s="2" t="e">
        <f>Various!#REF!</f>
        <v>#REF!</v>
      </c>
      <c r="B52" s="1" t="s">
        <v>158</v>
      </c>
      <c r="C52" s="1"/>
      <c r="E52" s="1" t="s">
        <v>165</v>
      </c>
      <c r="F52" s="1" t="s">
        <v>161</v>
      </c>
      <c r="G52" s="4">
        <f t="shared" ca="1" si="1"/>
        <v>0.70812858796125511</v>
      </c>
    </row>
    <row r="53" spans="1:7" x14ac:dyDescent="0.25">
      <c r="A53" s="2" t="e">
        <f>Various!#REF!</f>
        <v>#REF!</v>
      </c>
      <c r="B53" s="1" t="s">
        <v>166</v>
      </c>
      <c r="C53" s="1"/>
      <c r="D53" s="1"/>
      <c r="E53" s="1" t="s">
        <v>159</v>
      </c>
      <c r="F53" s="7" t="s">
        <v>150</v>
      </c>
      <c r="G53" s="4">
        <f t="shared" ca="1" si="1"/>
        <v>0.70812858796125511</v>
      </c>
    </row>
    <row r="54" spans="1:7" x14ac:dyDescent="0.25">
      <c r="A54" s="2" t="e">
        <f>Various!#REF!</f>
        <v>#REF!</v>
      </c>
      <c r="B54" s="1" t="s">
        <v>166</v>
      </c>
      <c r="C54" s="1"/>
      <c r="D54" s="1"/>
      <c r="E54" s="1" t="s">
        <v>159</v>
      </c>
      <c r="F54" s="1" t="s">
        <v>160</v>
      </c>
      <c r="G54" s="4">
        <f t="shared" ca="1" si="1"/>
        <v>0.70812858796125511</v>
      </c>
    </row>
    <row r="55" spans="1:7" x14ac:dyDescent="0.25">
      <c r="A55" s="2" t="e">
        <f>Various!#REF!</f>
        <v>#REF!</v>
      </c>
      <c r="B55" s="1" t="s">
        <v>166</v>
      </c>
      <c r="C55" s="1"/>
      <c r="D55" s="1"/>
      <c r="E55" s="1" t="s">
        <v>159</v>
      </c>
      <c r="F55" s="1" t="s">
        <v>161</v>
      </c>
      <c r="G55" s="4">
        <f t="shared" ca="1" si="1"/>
        <v>0.70812858796125511</v>
      </c>
    </row>
    <row r="56" spans="1:7" x14ac:dyDescent="0.25">
      <c r="A56" s="2" t="e">
        <f>Various!#REF!</f>
        <v>#REF!</v>
      </c>
      <c r="B56" s="1" t="s">
        <v>166</v>
      </c>
      <c r="C56" s="1"/>
      <c r="D56" s="1"/>
      <c r="E56" s="1" t="s">
        <v>162</v>
      </c>
      <c r="F56" s="7" t="s">
        <v>150</v>
      </c>
      <c r="G56" s="4">
        <f t="shared" ca="1" si="1"/>
        <v>0.70812858796125511</v>
      </c>
    </row>
    <row r="57" spans="1:7" x14ac:dyDescent="0.25">
      <c r="A57" s="2" t="e">
        <f>Various!#REF!</f>
        <v>#REF!</v>
      </c>
      <c r="B57" s="1" t="s">
        <v>166</v>
      </c>
      <c r="C57" s="1"/>
      <c r="D57" s="1"/>
      <c r="E57" s="1" t="s">
        <v>162</v>
      </c>
      <c r="F57" s="1" t="s">
        <v>160</v>
      </c>
      <c r="G57" s="4">
        <f t="shared" ca="1" si="1"/>
        <v>0.70812858796125511</v>
      </c>
    </row>
    <row r="58" spans="1:7" x14ac:dyDescent="0.25">
      <c r="A58" s="2" t="e">
        <f>Various!#REF!</f>
        <v>#REF!</v>
      </c>
      <c r="B58" s="1" t="s">
        <v>166</v>
      </c>
      <c r="C58" s="1"/>
      <c r="D58" s="1"/>
      <c r="E58" s="1" t="s">
        <v>162</v>
      </c>
      <c r="F58" s="1" t="s">
        <v>161</v>
      </c>
      <c r="G58" s="4">
        <f t="shared" ca="1" si="1"/>
        <v>0.70812858796125511</v>
      </c>
    </row>
    <row r="59" spans="1:7" x14ac:dyDescent="0.25">
      <c r="A59" s="2" t="e">
        <f>Various!#REF!</f>
        <v>#REF!</v>
      </c>
      <c r="B59" s="1" t="s">
        <v>166</v>
      </c>
      <c r="C59" s="1"/>
      <c r="D59" s="1"/>
      <c r="E59" s="1" t="s">
        <v>163</v>
      </c>
      <c r="F59" s="7" t="s">
        <v>150</v>
      </c>
      <c r="G59" s="4">
        <f t="shared" ca="1" si="1"/>
        <v>0.70812858796125511</v>
      </c>
    </row>
    <row r="60" spans="1:7" x14ac:dyDescent="0.25">
      <c r="A60" s="2" t="e">
        <f>Various!#REF!</f>
        <v>#REF!</v>
      </c>
      <c r="B60" s="1" t="s">
        <v>166</v>
      </c>
      <c r="C60" s="1"/>
      <c r="D60" s="1"/>
      <c r="E60" s="1" t="s">
        <v>163</v>
      </c>
      <c r="F60" s="1" t="s">
        <v>160</v>
      </c>
      <c r="G60" s="4">
        <f t="shared" ca="1" si="1"/>
        <v>0.70812858796125511</v>
      </c>
    </row>
    <row r="61" spans="1:7" x14ac:dyDescent="0.25">
      <c r="A61" s="2" t="e">
        <f>Various!#REF!</f>
        <v>#REF!</v>
      </c>
      <c r="B61" s="1" t="s">
        <v>166</v>
      </c>
      <c r="C61" s="1"/>
      <c r="E61" s="1" t="s">
        <v>163</v>
      </c>
      <c r="F61" s="1" t="s">
        <v>161</v>
      </c>
      <c r="G61" s="4">
        <f t="shared" ca="1" si="1"/>
        <v>0.70812858796125511</v>
      </c>
    </row>
    <row r="62" spans="1:7" x14ac:dyDescent="0.25">
      <c r="A62" s="2" t="e">
        <f>Various!#REF!</f>
        <v>#REF!</v>
      </c>
      <c r="B62" s="1" t="s">
        <v>166</v>
      </c>
      <c r="C62" s="1"/>
      <c r="E62" s="1" t="s">
        <v>164</v>
      </c>
      <c r="F62" s="7" t="s">
        <v>150</v>
      </c>
      <c r="G62" s="4">
        <f t="shared" ca="1" si="1"/>
        <v>0.70812858796125511</v>
      </c>
    </row>
    <row r="63" spans="1:7" x14ac:dyDescent="0.25">
      <c r="A63" s="2" t="e">
        <f>Various!#REF!</f>
        <v>#REF!</v>
      </c>
      <c r="B63" s="1" t="s">
        <v>166</v>
      </c>
      <c r="C63" s="1"/>
      <c r="E63" s="1" t="s">
        <v>164</v>
      </c>
      <c r="F63" s="1" t="s">
        <v>160</v>
      </c>
      <c r="G63" s="4">
        <f t="shared" ca="1" si="1"/>
        <v>0.70812858796125511</v>
      </c>
    </row>
    <row r="64" spans="1:7" x14ac:dyDescent="0.25">
      <c r="A64" s="2" t="e">
        <f>Various!#REF!</f>
        <v>#REF!</v>
      </c>
      <c r="B64" s="1" t="s">
        <v>166</v>
      </c>
      <c r="C64" s="1"/>
      <c r="D64" s="1"/>
      <c r="E64" s="1" t="s">
        <v>164</v>
      </c>
      <c r="F64" s="1" t="s">
        <v>161</v>
      </c>
      <c r="G64" s="4">
        <f t="shared" ca="1" si="1"/>
        <v>0.70812858796125511</v>
      </c>
    </row>
    <row r="65" spans="1:7" x14ac:dyDescent="0.25">
      <c r="A65" s="2" t="e">
        <f>Various!#REF!</f>
        <v>#REF!</v>
      </c>
      <c r="B65" s="1" t="s">
        <v>166</v>
      </c>
      <c r="C65" s="1"/>
      <c r="D65" s="1"/>
      <c r="E65" s="1" t="s">
        <v>165</v>
      </c>
      <c r="F65" s="7" t="s">
        <v>150</v>
      </c>
      <c r="G65" s="4">
        <f t="shared" ca="1" si="1"/>
        <v>0.70812858796125511</v>
      </c>
    </row>
    <row r="66" spans="1:7" x14ac:dyDescent="0.25">
      <c r="A66" s="2" t="e">
        <f>Various!#REF!</f>
        <v>#REF!</v>
      </c>
      <c r="B66" s="1" t="s">
        <v>166</v>
      </c>
      <c r="C66" s="1"/>
      <c r="D66" s="1"/>
      <c r="E66" s="1" t="s">
        <v>165</v>
      </c>
      <c r="F66" s="1" t="s">
        <v>160</v>
      </c>
      <c r="G66" s="4">
        <f t="shared" ca="1" si="1"/>
        <v>0.70812858796125511</v>
      </c>
    </row>
    <row r="67" spans="1:7" x14ac:dyDescent="0.25">
      <c r="A67" s="2" t="e">
        <f>Various!#REF!</f>
        <v>#REF!</v>
      </c>
      <c r="B67" s="1" t="s">
        <v>166</v>
      </c>
      <c r="C67" s="1"/>
      <c r="D67" s="1"/>
      <c r="E67" s="1" t="s">
        <v>165</v>
      </c>
      <c r="F67" s="1" t="s">
        <v>161</v>
      </c>
      <c r="G67" s="4">
        <f t="shared" ca="1" si="1"/>
        <v>0.70812858796125511</v>
      </c>
    </row>
    <row r="68" spans="1:7" x14ac:dyDescent="0.25">
      <c r="A68" s="2" t="e">
        <f>Various!#REF!</f>
        <v>#REF!</v>
      </c>
      <c r="B68" s="1" t="s">
        <v>167</v>
      </c>
      <c r="C68" s="1"/>
      <c r="D68" s="1"/>
      <c r="E68" s="1" t="s">
        <v>159</v>
      </c>
      <c r="F68" s="7" t="s">
        <v>150</v>
      </c>
      <c r="G68" s="4">
        <f t="shared" ca="1" si="1"/>
        <v>0.70812858796125511</v>
      </c>
    </row>
    <row r="69" spans="1:7" x14ac:dyDescent="0.25">
      <c r="A69" s="2" t="e">
        <f>Various!#REF!</f>
        <v>#REF!</v>
      </c>
      <c r="B69" s="1" t="s">
        <v>167</v>
      </c>
      <c r="C69" s="1"/>
      <c r="D69" s="1"/>
      <c r="E69" s="1" t="s">
        <v>159</v>
      </c>
      <c r="F69" s="1" t="s">
        <v>160</v>
      </c>
      <c r="G69" s="4">
        <f t="shared" ca="1" si="1"/>
        <v>0.70812858796125511</v>
      </c>
    </row>
    <row r="70" spans="1:7" x14ac:dyDescent="0.25">
      <c r="A70" s="2" t="e">
        <f>Various!#REF!</f>
        <v>#REF!</v>
      </c>
      <c r="B70" s="1" t="s">
        <v>167</v>
      </c>
      <c r="C70" s="1"/>
      <c r="D70" s="1"/>
      <c r="E70" s="1" t="s">
        <v>159</v>
      </c>
      <c r="F70" s="1" t="s">
        <v>161</v>
      </c>
      <c r="G70" s="4">
        <f t="shared" ca="1" si="1"/>
        <v>0.70812858796125511</v>
      </c>
    </row>
    <row r="71" spans="1:7" x14ac:dyDescent="0.25">
      <c r="A71" s="2" t="e">
        <f>Various!#REF!</f>
        <v>#REF!</v>
      </c>
      <c r="B71" s="1" t="s">
        <v>167</v>
      </c>
      <c r="C71" s="1"/>
      <c r="D71" s="1"/>
      <c r="E71" s="1" t="s">
        <v>162</v>
      </c>
      <c r="F71" s="7" t="s">
        <v>150</v>
      </c>
      <c r="G71" s="4">
        <f t="shared" ca="1" si="1"/>
        <v>0.70812858796125511</v>
      </c>
    </row>
    <row r="72" spans="1:7" x14ac:dyDescent="0.25">
      <c r="A72" s="2" t="e">
        <f>Various!#REF!</f>
        <v>#REF!</v>
      </c>
      <c r="B72" s="1" t="s">
        <v>167</v>
      </c>
      <c r="C72" s="1"/>
      <c r="D72" s="1"/>
      <c r="E72" s="1" t="s">
        <v>162</v>
      </c>
      <c r="F72" s="1" t="s">
        <v>160</v>
      </c>
      <c r="G72" s="4">
        <f t="shared" ca="1" si="1"/>
        <v>0.70812858796125511</v>
      </c>
    </row>
    <row r="73" spans="1:7" x14ac:dyDescent="0.25">
      <c r="A73" s="2" t="e">
        <f>Various!#REF!</f>
        <v>#REF!</v>
      </c>
      <c r="B73" s="1" t="s">
        <v>167</v>
      </c>
      <c r="C73" s="1"/>
      <c r="E73" s="1" t="s">
        <v>162</v>
      </c>
      <c r="F73" s="1" t="s">
        <v>161</v>
      </c>
      <c r="G73" s="4">
        <f t="shared" ca="1" si="1"/>
        <v>0.70812858796125511</v>
      </c>
    </row>
    <row r="74" spans="1:7" x14ac:dyDescent="0.25">
      <c r="A74" s="2" t="e">
        <f>Various!#REF!</f>
        <v>#REF!</v>
      </c>
      <c r="B74" s="1" t="s">
        <v>167</v>
      </c>
      <c r="C74" s="1"/>
      <c r="E74" s="1" t="s">
        <v>163</v>
      </c>
      <c r="F74" s="7" t="s">
        <v>150</v>
      </c>
      <c r="G74" s="4">
        <f t="shared" ca="1" si="1"/>
        <v>0.70812858796125511</v>
      </c>
    </row>
    <row r="75" spans="1:7" x14ac:dyDescent="0.25">
      <c r="A75" s="2" t="e">
        <f>Various!#REF!</f>
        <v>#REF!</v>
      </c>
      <c r="B75" s="1" t="s">
        <v>167</v>
      </c>
      <c r="C75" s="1"/>
      <c r="E75" s="1" t="s">
        <v>163</v>
      </c>
      <c r="F75" s="1" t="s">
        <v>160</v>
      </c>
      <c r="G75" s="4">
        <f t="shared" ca="1" si="1"/>
        <v>0.70812858796125511</v>
      </c>
    </row>
    <row r="76" spans="1:7" x14ac:dyDescent="0.25">
      <c r="A76" s="2" t="e">
        <f>Various!#REF!</f>
        <v>#REF!</v>
      </c>
      <c r="B76" s="1" t="s">
        <v>167</v>
      </c>
      <c r="C76" s="1"/>
      <c r="D76" s="1"/>
      <c r="E76" s="1" t="s">
        <v>163</v>
      </c>
      <c r="F76" s="1" t="s">
        <v>161</v>
      </c>
      <c r="G76" s="4">
        <f t="shared" ca="1" si="1"/>
        <v>0.70812858796125511</v>
      </c>
    </row>
    <row r="77" spans="1:7" x14ac:dyDescent="0.25">
      <c r="A77" s="2" t="e">
        <f>Various!#REF!</f>
        <v>#REF!</v>
      </c>
      <c r="B77" s="1" t="s">
        <v>167</v>
      </c>
      <c r="C77" s="1"/>
      <c r="D77" s="1"/>
      <c r="E77" s="1" t="s">
        <v>164</v>
      </c>
      <c r="F77" s="7" t="s">
        <v>150</v>
      </c>
      <c r="G77" s="4">
        <f t="shared" ca="1" si="1"/>
        <v>0.70812858796125511</v>
      </c>
    </row>
    <row r="78" spans="1:7" x14ac:dyDescent="0.25">
      <c r="A78" s="2" t="e">
        <f>Various!#REF!</f>
        <v>#REF!</v>
      </c>
      <c r="B78" s="1" t="s">
        <v>167</v>
      </c>
      <c r="C78" s="1"/>
      <c r="D78" s="1"/>
      <c r="E78" s="1" t="s">
        <v>164</v>
      </c>
      <c r="F78" s="1" t="s">
        <v>160</v>
      </c>
      <c r="G78" s="4">
        <f t="shared" ca="1" si="1"/>
        <v>0.70812858796125511</v>
      </c>
    </row>
    <row r="79" spans="1:7" x14ac:dyDescent="0.25">
      <c r="A79" s="2" t="e">
        <f>Various!#REF!</f>
        <v>#REF!</v>
      </c>
      <c r="B79" s="1" t="s">
        <v>167</v>
      </c>
      <c r="C79" s="1"/>
      <c r="D79" s="1"/>
      <c r="E79" s="1" t="s">
        <v>164</v>
      </c>
      <c r="F79" s="1" t="s">
        <v>161</v>
      </c>
      <c r="G79" s="4">
        <f t="shared" ca="1" si="1"/>
        <v>0.70812858796125511</v>
      </c>
    </row>
    <row r="80" spans="1:7" x14ac:dyDescent="0.25">
      <c r="A80" s="2" t="e">
        <f>Various!#REF!</f>
        <v>#REF!</v>
      </c>
      <c r="B80" s="1" t="s">
        <v>167</v>
      </c>
      <c r="C80" s="1"/>
      <c r="D80" s="1"/>
      <c r="E80" s="1" t="s">
        <v>165</v>
      </c>
      <c r="F80" s="7" t="s">
        <v>150</v>
      </c>
      <c r="G80" s="4">
        <f t="shared" ca="1" si="1"/>
        <v>0.70812858796125511</v>
      </c>
    </row>
    <row r="81" spans="1:8" x14ac:dyDescent="0.25">
      <c r="A81" s="2" t="e">
        <f>Various!#REF!</f>
        <v>#REF!</v>
      </c>
      <c r="B81" s="1" t="s">
        <v>167</v>
      </c>
      <c r="C81" s="1"/>
      <c r="D81" s="1"/>
      <c r="E81" s="1" t="s">
        <v>165</v>
      </c>
      <c r="F81" s="1" t="s">
        <v>160</v>
      </c>
      <c r="G81" s="4">
        <f t="shared" ca="1" si="1"/>
        <v>0.70812858796125511</v>
      </c>
    </row>
    <row r="82" spans="1:8" x14ac:dyDescent="0.25">
      <c r="A82" s="2" t="e">
        <f>Various!#REF!</f>
        <v>#REF!</v>
      </c>
      <c r="B82" s="1" t="s">
        <v>167</v>
      </c>
      <c r="C82" s="1"/>
      <c r="D82" s="1"/>
      <c r="E82" s="1" t="s">
        <v>165</v>
      </c>
      <c r="F82" s="1" t="s">
        <v>161</v>
      </c>
      <c r="G82" s="4">
        <f t="shared" ca="1" si="1"/>
        <v>0.70812858796125511</v>
      </c>
    </row>
    <row r="83" spans="1:8" x14ac:dyDescent="0.25">
      <c r="A83" s="2" t="e">
        <f>Various!#REF!</f>
        <v>#REF!</v>
      </c>
      <c r="B83" s="1" t="s">
        <v>168</v>
      </c>
      <c r="C83" s="5" t="e">
        <f>IF(Various!#REF!="","",Various!#REF!)</f>
        <v>#REF!</v>
      </c>
      <c r="D83" s="1" t="s">
        <v>169</v>
      </c>
      <c r="E83" s="1" t="s">
        <v>170</v>
      </c>
      <c r="G83" s="4">
        <f t="shared" ref="G83:G114" ca="1" si="2">NOW()-ROUNDDOWN(NOW(),0)</f>
        <v>0.70812858796125511</v>
      </c>
      <c r="H83" s="1" t="s">
        <v>171</v>
      </c>
    </row>
    <row r="84" spans="1:8" x14ac:dyDescent="0.25">
      <c r="A84" s="2" t="e">
        <f>Various!#REF!</f>
        <v>#REF!</v>
      </c>
      <c r="B84" s="1" t="s">
        <v>168</v>
      </c>
      <c r="C84" s="5" t="e">
        <f>IF(Various!#REF!="","",Various!#REF!)</f>
        <v>#REF!</v>
      </c>
      <c r="D84" s="1" t="s">
        <v>169</v>
      </c>
      <c r="E84" s="1" t="s">
        <v>172</v>
      </c>
      <c r="G84" s="4">
        <f t="shared" ca="1" si="2"/>
        <v>0.70812858796125511</v>
      </c>
      <c r="H84" s="1" t="s">
        <v>171</v>
      </c>
    </row>
    <row r="85" spans="1:8" x14ac:dyDescent="0.25">
      <c r="A85" s="2" t="e">
        <f>Various!#REF!</f>
        <v>#REF!</v>
      </c>
      <c r="B85" s="1" t="s">
        <v>168</v>
      </c>
      <c r="C85" s="5" t="e">
        <f>IF(Various!#REF!="","",Various!#REF!)</f>
        <v>#REF!</v>
      </c>
      <c r="D85" s="1" t="s">
        <v>169</v>
      </c>
      <c r="E85" s="1" t="s">
        <v>173</v>
      </c>
      <c r="G85" s="4">
        <f t="shared" ca="1" si="2"/>
        <v>0.70812858796125511</v>
      </c>
      <c r="H85" s="1" t="s">
        <v>171</v>
      </c>
    </row>
    <row r="86" spans="1:8" x14ac:dyDescent="0.25">
      <c r="A86" s="2" t="e">
        <f>Various!#REF!</f>
        <v>#REF!</v>
      </c>
      <c r="B86" s="1" t="s">
        <v>168</v>
      </c>
      <c r="C86" s="5" t="e">
        <f>IF(Various!#REF!="","",Various!#REF!)</f>
        <v>#REF!</v>
      </c>
      <c r="D86" s="1" t="s">
        <v>169</v>
      </c>
      <c r="E86" s="1" t="s">
        <v>174</v>
      </c>
      <c r="G86" s="4">
        <f t="shared" ca="1" si="2"/>
        <v>0.70812858796125511</v>
      </c>
      <c r="H86" s="1" t="s">
        <v>171</v>
      </c>
    </row>
    <row r="87" spans="1:8" x14ac:dyDescent="0.25">
      <c r="A87" s="2" t="e">
        <f>Various!#REF!</f>
        <v>#REF!</v>
      </c>
      <c r="B87" s="1" t="s">
        <v>168</v>
      </c>
      <c r="C87" s="5" t="e">
        <f>IF(Various!#REF!="","",Various!#REF!)</f>
        <v>#REF!</v>
      </c>
      <c r="D87" s="1" t="s">
        <v>169</v>
      </c>
      <c r="E87" s="1" t="s">
        <v>175</v>
      </c>
      <c r="G87" s="4">
        <f t="shared" ca="1" si="2"/>
        <v>0.70812858796125511</v>
      </c>
      <c r="H87" s="1" t="s">
        <v>171</v>
      </c>
    </row>
    <row r="88" spans="1:8" x14ac:dyDescent="0.25">
      <c r="A88" s="2" t="e">
        <f>Various!#REF!</f>
        <v>#REF!</v>
      </c>
      <c r="B88" s="1" t="s">
        <v>168</v>
      </c>
      <c r="C88" s="5" t="e">
        <f>IF(Various!#REF!="","",Various!#REF!)</f>
        <v>#REF!</v>
      </c>
      <c r="D88" s="1" t="s">
        <v>169</v>
      </c>
      <c r="E88" s="1" t="s">
        <v>176</v>
      </c>
      <c r="G88" s="4">
        <f t="shared" ca="1" si="2"/>
        <v>0.70812858796125511</v>
      </c>
      <c r="H88" s="1" t="s">
        <v>171</v>
      </c>
    </row>
    <row r="89" spans="1:8" x14ac:dyDescent="0.25">
      <c r="A89" s="2" t="e">
        <f>Various!#REF!</f>
        <v>#REF!</v>
      </c>
      <c r="B89" s="1" t="s">
        <v>168</v>
      </c>
      <c r="C89" s="5" t="e">
        <f>IF(Various!#REF!="","",Various!#REF!)</f>
        <v>#REF!</v>
      </c>
      <c r="D89" s="1" t="s">
        <v>169</v>
      </c>
      <c r="E89" s="1" t="s">
        <v>177</v>
      </c>
      <c r="G89" s="4">
        <f t="shared" ca="1" si="2"/>
        <v>0.70812858796125511</v>
      </c>
      <c r="H89" s="1" t="s">
        <v>171</v>
      </c>
    </row>
    <row r="90" spans="1:8" x14ac:dyDescent="0.25">
      <c r="A90" s="2" t="e">
        <f>Various!#REF!</f>
        <v>#REF!</v>
      </c>
      <c r="B90" s="1" t="s">
        <v>168</v>
      </c>
      <c r="C90" s="5" t="e">
        <f>IF(Various!#REF!="","",Various!#REF!)</f>
        <v>#REF!</v>
      </c>
      <c r="D90" s="1" t="s">
        <v>169</v>
      </c>
      <c r="E90" s="1" t="s">
        <v>178</v>
      </c>
      <c r="G90" s="4">
        <f t="shared" ca="1" si="2"/>
        <v>0.70812858796125511</v>
      </c>
      <c r="H90" s="1" t="s">
        <v>171</v>
      </c>
    </row>
    <row r="91" spans="1:8" x14ac:dyDescent="0.25">
      <c r="A91" s="2" t="e">
        <f>Various!#REF!</f>
        <v>#REF!</v>
      </c>
      <c r="B91" s="1" t="s">
        <v>168</v>
      </c>
      <c r="C91" s="5" t="e">
        <f>IF(Various!#REF!="","",Various!#REF!)</f>
        <v>#REF!</v>
      </c>
      <c r="D91" s="1" t="s">
        <v>169</v>
      </c>
      <c r="E91" s="1" t="s">
        <v>179</v>
      </c>
      <c r="G91" s="4">
        <f t="shared" ca="1" si="2"/>
        <v>0.70812858796125511</v>
      </c>
      <c r="H91" s="1" t="s">
        <v>171</v>
      </c>
    </row>
    <row r="92" spans="1:8" x14ac:dyDescent="0.25">
      <c r="A92" s="2" t="e">
        <f>Various!#REF!</f>
        <v>#REF!</v>
      </c>
      <c r="B92" s="1" t="s">
        <v>168</v>
      </c>
      <c r="C92" s="5" t="e">
        <f>IF(Various!#REF!="","",Various!#REF!)</f>
        <v>#REF!</v>
      </c>
      <c r="D92" s="1" t="s">
        <v>169</v>
      </c>
      <c r="E92" s="1" t="s">
        <v>180</v>
      </c>
      <c r="G92" s="4">
        <f t="shared" ca="1" si="2"/>
        <v>0.70812858796125511</v>
      </c>
      <c r="H92" s="1" t="s">
        <v>171</v>
      </c>
    </row>
    <row r="93" spans="1:8" x14ac:dyDescent="0.25">
      <c r="A93" s="2" t="e">
        <f>Various!#REF!</f>
        <v>#REF!</v>
      </c>
      <c r="B93" s="1" t="s">
        <v>168</v>
      </c>
      <c r="C93" s="5" t="e">
        <f>IF(Various!#REF!="","",Various!#REF!)</f>
        <v>#REF!</v>
      </c>
      <c r="D93" s="1" t="s">
        <v>169</v>
      </c>
      <c r="E93" s="1" t="s">
        <v>181</v>
      </c>
      <c r="G93" s="4">
        <f t="shared" ca="1" si="2"/>
        <v>0.70812858796125511</v>
      </c>
      <c r="H93" s="1" t="s">
        <v>171</v>
      </c>
    </row>
    <row r="94" spans="1:8" x14ac:dyDescent="0.25">
      <c r="A94" s="2" t="e">
        <f>Various!#REF!</f>
        <v>#REF!</v>
      </c>
      <c r="B94" s="1" t="s">
        <v>168</v>
      </c>
      <c r="C94" s="5" t="e">
        <f>IF(Various!#REF!="","",Various!#REF!)</f>
        <v>#REF!</v>
      </c>
      <c r="D94" s="1" t="s">
        <v>169</v>
      </c>
      <c r="E94" s="1" t="s">
        <v>182</v>
      </c>
      <c r="G94" s="4">
        <f t="shared" ca="1" si="2"/>
        <v>0.70812858796125511</v>
      </c>
      <c r="H94" s="1" t="s">
        <v>171</v>
      </c>
    </row>
    <row r="95" spans="1:8" x14ac:dyDescent="0.25">
      <c r="A95" s="2" t="e">
        <f>Various!#REF!</f>
        <v>#REF!</v>
      </c>
      <c r="B95" s="1" t="s">
        <v>168</v>
      </c>
      <c r="C95" s="5" t="e">
        <f>IF(Various!#REF!="","",Various!#REF!)</f>
        <v>#REF!</v>
      </c>
      <c r="D95" s="1" t="s">
        <v>169</v>
      </c>
      <c r="E95" s="1" t="s">
        <v>183</v>
      </c>
      <c r="G95" s="4">
        <f t="shared" ca="1" si="2"/>
        <v>0.70812858796125511</v>
      </c>
      <c r="H95" s="1" t="s">
        <v>171</v>
      </c>
    </row>
    <row r="96" spans="1:8" x14ac:dyDescent="0.25">
      <c r="A96" s="2" t="e">
        <f>Various!#REF!</f>
        <v>#REF!</v>
      </c>
      <c r="B96" s="1" t="s">
        <v>168</v>
      </c>
      <c r="C96" s="5" t="e">
        <f>IF(Various!#REF!="","",Various!#REF!)</f>
        <v>#REF!</v>
      </c>
      <c r="D96" s="1" t="s">
        <v>169</v>
      </c>
      <c r="E96" s="1" t="s">
        <v>184</v>
      </c>
      <c r="G96" s="4">
        <f t="shared" ca="1" si="2"/>
        <v>0.70812858796125511</v>
      </c>
      <c r="H96" s="1" t="s">
        <v>171</v>
      </c>
    </row>
    <row r="97" spans="1:8" x14ac:dyDescent="0.25">
      <c r="A97" s="2" t="e">
        <f>Various!#REF!</f>
        <v>#REF!</v>
      </c>
      <c r="B97" s="1" t="s">
        <v>168</v>
      </c>
      <c r="C97" s="5" t="e">
        <f>IF(Various!#REF!="","",Various!#REF!)</f>
        <v>#REF!</v>
      </c>
      <c r="D97" s="1" t="s">
        <v>169</v>
      </c>
      <c r="E97" s="1" t="s">
        <v>170</v>
      </c>
      <c r="G97" s="4">
        <f t="shared" ca="1" si="2"/>
        <v>0.70812858796125511</v>
      </c>
      <c r="H97" s="1" t="s">
        <v>185</v>
      </c>
    </row>
    <row r="98" spans="1:8" x14ac:dyDescent="0.25">
      <c r="A98" s="2" t="e">
        <f>Various!#REF!</f>
        <v>#REF!</v>
      </c>
      <c r="B98" s="1" t="s">
        <v>168</v>
      </c>
      <c r="C98" s="5" t="e">
        <f>IF(Various!#REF!="","",Various!#REF!)</f>
        <v>#REF!</v>
      </c>
      <c r="D98" s="1" t="s">
        <v>169</v>
      </c>
      <c r="E98" s="1" t="s">
        <v>172</v>
      </c>
      <c r="G98" s="4">
        <f t="shared" ca="1" si="2"/>
        <v>0.70812858796125511</v>
      </c>
      <c r="H98" s="1" t="s">
        <v>185</v>
      </c>
    </row>
    <row r="99" spans="1:8" x14ac:dyDescent="0.25">
      <c r="A99" s="2" t="e">
        <f>Various!#REF!</f>
        <v>#REF!</v>
      </c>
      <c r="B99" s="1" t="s">
        <v>168</v>
      </c>
      <c r="C99" s="5" t="e">
        <f>IF(Various!#REF!="","",Various!#REF!)</f>
        <v>#REF!</v>
      </c>
      <c r="D99" s="1" t="s">
        <v>169</v>
      </c>
      <c r="E99" s="1" t="s">
        <v>173</v>
      </c>
      <c r="G99" s="4">
        <f t="shared" ca="1" si="2"/>
        <v>0.70812858796125511</v>
      </c>
      <c r="H99" s="1" t="s">
        <v>185</v>
      </c>
    </row>
    <row r="100" spans="1:8" x14ac:dyDescent="0.25">
      <c r="A100" s="2" t="e">
        <f>Various!#REF!</f>
        <v>#REF!</v>
      </c>
      <c r="B100" s="1" t="s">
        <v>168</v>
      </c>
      <c r="C100" s="5" t="e">
        <f>IF(Various!#REF!="","",Various!#REF!)</f>
        <v>#REF!</v>
      </c>
      <c r="D100" s="1" t="s">
        <v>169</v>
      </c>
      <c r="E100" s="1" t="s">
        <v>174</v>
      </c>
      <c r="G100" s="4">
        <f t="shared" ca="1" si="2"/>
        <v>0.70812858796125511</v>
      </c>
      <c r="H100" s="1" t="s">
        <v>185</v>
      </c>
    </row>
    <row r="101" spans="1:8" x14ac:dyDescent="0.25">
      <c r="A101" s="2" t="e">
        <f>Various!#REF!</f>
        <v>#REF!</v>
      </c>
      <c r="B101" s="1" t="s">
        <v>168</v>
      </c>
      <c r="C101" s="5" t="e">
        <f>IF(Various!#REF!="","",Various!#REF!)</f>
        <v>#REF!</v>
      </c>
      <c r="D101" s="1" t="s">
        <v>169</v>
      </c>
      <c r="E101" s="1" t="s">
        <v>175</v>
      </c>
      <c r="G101" s="4">
        <f t="shared" ca="1" si="2"/>
        <v>0.70812858796125511</v>
      </c>
      <c r="H101" s="1" t="s">
        <v>185</v>
      </c>
    </row>
    <row r="102" spans="1:8" x14ac:dyDescent="0.25">
      <c r="A102" s="2" t="e">
        <f>Various!#REF!</f>
        <v>#REF!</v>
      </c>
      <c r="B102" s="1" t="s">
        <v>168</v>
      </c>
      <c r="C102" s="5" t="e">
        <f>IF(Various!#REF!="","",Various!#REF!)</f>
        <v>#REF!</v>
      </c>
      <c r="D102" s="1" t="s">
        <v>169</v>
      </c>
      <c r="E102" s="1" t="s">
        <v>176</v>
      </c>
      <c r="G102" s="4">
        <f t="shared" ca="1" si="2"/>
        <v>0.70812858796125511</v>
      </c>
      <c r="H102" s="1" t="s">
        <v>185</v>
      </c>
    </row>
    <row r="103" spans="1:8" x14ac:dyDescent="0.25">
      <c r="A103" s="2" t="e">
        <f>Various!#REF!</f>
        <v>#REF!</v>
      </c>
      <c r="B103" s="1" t="s">
        <v>168</v>
      </c>
      <c r="C103" s="5" t="e">
        <f>IF(Various!#REF!="","",Various!#REF!)</f>
        <v>#REF!</v>
      </c>
      <c r="D103" s="1" t="s">
        <v>169</v>
      </c>
      <c r="E103" s="1" t="s">
        <v>177</v>
      </c>
      <c r="G103" s="4">
        <f t="shared" ca="1" si="2"/>
        <v>0.70812858796125511</v>
      </c>
      <c r="H103" s="1" t="s">
        <v>185</v>
      </c>
    </row>
    <row r="104" spans="1:8" x14ac:dyDescent="0.25">
      <c r="A104" s="2" t="e">
        <f>Various!#REF!</f>
        <v>#REF!</v>
      </c>
      <c r="B104" s="1" t="s">
        <v>168</v>
      </c>
      <c r="C104" s="5" t="e">
        <f>IF(Various!#REF!="","",Various!#REF!)</f>
        <v>#REF!</v>
      </c>
      <c r="D104" s="1" t="s">
        <v>169</v>
      </c>
      <c r="E104" s="1" t="s">
        <v>178</v>
      </c>
      <c r="G104" s="4">
        <f t="shared" ca="1" si="2"/>
        <v>0.70812858796125511</v>
      </c>
      <c r="H104" s="1" t="s">
        <v>185</v>
      </c>
    </row>
    <row r="105" spans="1:8" x14ac:dyDescent="0.25">
      <c r="A105" s="2" t="e">
        <f>Various!#REF!</f>
        <v>#REF!</v>
      </c>
      <c r="B105" s="1" t="s">
        <v>168</v>
      </c>
      <c r="C105" s="5" t="e">
        <f>IF(Various!#REF!="","",Various!#REF!)</f>
        <v>#REF!</v>
      </c>
      <c r="D105" s="1" t="s">
        <v>169</v>
      </c>
      <c r="E105" s="1" t="s">
        <v>179</v>
      </c>
      <c r="G105" s="4">
        <f t="shared" ca="1" si="2"/>
        <v>0.70812858796125511</v>
      </c>
      <c r="H105" s="1" t="s">
        <v>185</v>
      </c>
    </row>
    <row r="106" spans="1:8" x14ac:dyDescent="0.25">
      <c r="A106" s="2" t="e">
        <f>Various!#REF!</f>
        <v>#REF!</v>
      </c>
      <c r="B106" s="1" t="s">
        <v>168</v>
      </c>
      <c r="C106" s="5" t="e">
        <f>IF(Various!#REF!="","",Various!#REF!)</f>
        <v>#REF!</v>
      </c>
      <c r="D106" s="1" t="s">
        <v>169</v>
      </c>
      <c r="E106" s="1" t="s">
        <v>180</v>
      </c>
      <c r="G106" s="4">
        <f t="shared" ca="1" si="2"/>
        <v>0.70812858796125511</v>
      </c>
      <c r="H106" s="1" t="s">
        <v>185</v>
      </c>
    </row>
    <row r="107" spans="1:8" x14ac:dyDescent="0.25">
      <c r="A107" s="2" t="e">
        <f>Various!#REF!</f>
        <v>#REF!</v>
      </c>
      <c r="B107" s="1" t="s">
        <v>168</v>
      </c>
      <c r="C107" s="5" t="e">
        <f>IF(Various!#REF!="","",Various!#REF!)</f>
        <v>#REF!</v>
      </c>
      <c r="D107" s="1" t="s">
        <v>169</v>
      </c>
      <c r="E107" s="1" t="s">
        <v>181</v>
      </c>
      <c r="G107" s="4">
        <f t="shared" ca="1" si="2"/>
        <v>0.70812858796125511</v>
      </c>
      <c r="H107" s="1" t="s">
        <v>185</v>
      </c>
    </row>
    <row r="108" spans="1:8" x14ac:dyDescent="0.25">
      <c r="A108" s="2" t="e">
        <f>Various!#REF!</f>
        <v>#REF!</v>
      </c>
      <c r="B108" s="1" t="s">
        <v>168</v>
      </c>
      <c r="C108" s="5" t="e">
        <f>IF(Various!#REF!="","",Various!#REF!)</f>
        <v>#REF!</v>
      </c>
      <c r="D108" s="1" t="s">
        <v>169</v>
      </c>
      <c r="E108" s="1" t="s">
        <v>182</v>
      </c>
      <c r="G108" s="4">
        <f t="shared" ca="1" si="2"/>
        <v>0.70812858796125511</v>
      </c>
      <c r="H108" s="1" t="s">
        <v>185</v>
      </c>
    </row>
    <row r="109" spans="1:8" x14ac:dyDescent="0.25">
      <c r="A109" s="2" t="e">
        <f>Various!#REF!</f>
        <v>#REF!</v>
      </c>
      <c r="B109" s="1" t="s">
        <v>168</v>
      </c>
      <c r="C109" s="5" t="e">
        <f>IF(Various!#REF!="","",Various!#REF!)</f>
        <v>#REF!</v>
      </c>
      <c r="D109" s="1" t="s">
        <v>169</v>
      </c>
      <c r="E109" s="1" t="s">
        <v>183</v>
      </c>
      <c r="G109" s="4">
        <f t="shared" ca="1" si="2"/>
        <v>0.70812858796125511</v>
      </c>
      <c r="H109" s="1" t="s">
        <v>185</v>
      </c>
    </row>
    <row r="110" spans="1:8" x14ac:dyDescent="0.25">
      <c r="A110" s="2" t="e">
        <f>Various!#REF!</f>
        <v>#REF!</v>
      </c>
      <c r="B110" s="1" t="s">
        <v>168</v>
      </c>
      <c r="C110" s="5" t="e">
        <f>IF(Various!#REF!="","",Various!#REF!)</f>
        <v>#REF!</v>
      </c>
      <c r="D110" s="1" t="s">
        <v>169</v>
      </c>
      <c r="E110" s="1" t="s">
        <v>184</v>
      </c>
      <c r="G110" s="4">
        <f t="shared" ca="1" si="2"/>
        <v>0.70812858796125511</v>
      </c>
      <c r="H110" s="1" t="s">
        <v>185</v>
      </c>
    </row>
    <row r="111" spans="1:8" x14ac:dyDescent="0.25">
      <c r="A111" s="2" t="e">
        <f>Various!#REF!</f>
        <v>#REF!</v>
      </c>
      <c r="B111" s="1" t="s">
        <v>186</v>
      </c>
      <c r="C111" s="6" t="str">
        <f>IF(Various!R3="","",Various!R3)</f>
        <v/>
      </c>
      <c r="E111" s="1" t="s">
        <v>187</v>
      </c>
      <c r="G111" s="4">
        <f t="shared" ca="1" si="2"/>
        <v>0.70812858796125511</v>
      </c>
    </row>
    <row r="112" spans="1:8" x14ac:dyDescent="0.25">
      <c r="A112" s="2" t="e">
        <f>Various!#REF!</f>
        <v>#REF!</v>
      </c>
      <c r="B112" s="1" t="s">
        <v>186</v>
      </c>
      <c r="C112" s="6" t="str">
        <f>IF(Various!R4="","",Various!R4)</f>
        <v/>
      </c>
      <c r="E112" s="1" t="s">
        <v>188</v>
      </c>
      <c r="G112" s="4">
        <f t="shared" ca="1" si="2"/>
        <v>0.70812858796125511</v>
      </c>
    </row>
    <row r="113" spans="1:7" x14ac:dyDescent="0.25">
      <c r="A113" s="2" t="e">
        <f>Various!#REF!</f>
        <v>#REF!</v>
      </c>
      <c r="B113" t="s">
        <v>189</v>
      </c>
      <c r="C113" s="6" t="str">
        <f>IF(Various!R5="","",Various!R5)</f>
        <v/>
      </c>
      <c r="E113" s="1" t="s">
        <v>190</v>
      </c>
      <c r="G113" s="4">
        <f t="shared" ca="1" si="2"/>
        <v>0.70812858796125511</v>
      </c>
    </row>
    <row r="114" spans="1:7" x14ac:dyDescent="0.25">
      <c r="A114" s="2" t="e">
        <f>Various!#REF!</f>
        <v>#REF!</v>
      </c>
      <c r="B114" t="s">
        <v>191</v>
      </c>
      <c r="C114" s="6" t="str">
        <f>IF(Various!R6="","",Various!R6)</f>
        <v/>
      </c>
      <c r="E114" s="1" t="s">
        <v>190</v>
      </c>
      <c r="G114" s="4">
        <f t="shared" ca="1" si="2"/>
        <v>0.70812858796125511</v>
      </c>
    </row>
    <row r="115" spans="1:7" x14ac:dyDescent="0.25">
      <c r="A115" s="2" t="e">
        <f>Various!#REF!</f>
        <v>#REF!</v>
      </c>
      <c r="B115" s="1" t="s">
        <v>186</v>
      </c>
      <c r="C115" s="6" t="str">
        <f>IF(Various!R8="","",Various!R8)</f>
        <v/>
      </c>
      <c r="E115" s="1" t="s">
        <v>192</v>
      </c>
      <c r="G115" s="4">
        <f t="shared" ref="G115:G146" ca="1" si="3">NOW()-ROUNDDOWN(NOW(),0)</f>
        <v>0.70812858796125511</v>
      </c>
    </row>
    <row r="116" spans="1:7" x14ac:dyDescent="0.25">
      <c r="A116" s="2" t="e">
        <f>Various!#REF!</f>
        <v>#REF!</v>
      </c>
      <c r="B116" s="1" t="s">
        <v>193</v>
      </c>
      <c r="C116" s="1" t="str">
        <f>IF(Print!C5="","",Print!C5)</f>
        <v>Empty</v>
      </c>
      <c r="D116" s="1" t="s">
        <v>117</v>
      </c>
      <c r="E116" s="1" t="s">
        <v>118</v>
      </c>
      <c r="G116" s="4">
        <f t="shared" ca="1" si="3"/>
        <v>0.70812858796125511</v>
      </c>
    </row>
    <row r="117" spans="1:7" x14ac:dyDescent="0.25">
      <c r="A117" s="2" t="e">
        <f>Various!#REF!</f>
        <v>#REF!</v>
      </c>
      <c r="B117" s="1" t="s">
        <v>193</v>
      </c>
      <c r="C117" s="1">
        <f>IF(Print!C7="","",Print!C7)</f>
        <v>0</v>
      </c>
      <c r="D117" s="1" t="s">
        <v>117</v>
      </c>
      <c r="E117" s="1" t="s">
        <v>190</v>
      </c>
      <c r="G117" s="4">
        <f t="shared" ca="1" si="3"/>
        <v>0.70812858796125511</v>
      </c>
    </row>
    <row r="118" spans="1:7" x14ac:dyDescent="0.25">
      <c r="A118" s="2" t="e">
        <f>Various!#REF!</f>
        <v>#REF!</v>
      </c>
      <c r="B118" s="1" t="s">
        <v>193</v>
      </c>
      <c r="C118" s="1">
        <f>IF(Print!C8="","",Print!C8)</f>
        <v>0</v>
      </c>
      <c r="D118" s="1" t="s">
        <v>117</v>
      </c>
      <c r="E118" s="1" t="s">
        <v>192</v>
      </c>
      <c r="G118" s="4">
        <f t="shared" ca="1" si="3"/>
        <v>0.70812858796125511</v>
      </c>
    </row>
    <row r="119" spans="1:7" x14ac:dyDescent="0.25">
      <c r="A119" s="2" t="e">
        <f>Various!#REF!</f>
        <v>#REF!</v>
      </c>
      <c r="B119" s="1" t="s">
        <v>194</v>
      </c>
      <c r="C119" s="1">
        <f>IF(Print!C9="","",Print!C9)</f>
        <v>0</v>
      </c>
      <c r="D119" s="1" t="s">
        <v>117</v>
      </c>
      <c r="E119" s="1" t="s">
        <v>192</v>
      </c>
      <c r="G119" s="4">
        <f t="shared" ca="1" si="3"/>
        <v>0.70812858796125511</v>
      </c>
    </row>
    <row r="120" spans="1:7" x14ac:dyDescent="0.25">
      <c r="A120" s="2" t="e">
        <f>Various!#REF!</f>
        <v>#REF!</v>
      </c>
      <c r="B120" s="1" t="s">
        <v>193</v>
      </c>
      <c r="C120" s="1" t="str">
        <f>IF(Print!C10="","",Print!C10)</f>
        <v>Empty</v>
      </c>
      <c r="D120" s="1" t="s">
        <v>117</v>
      </c>
      <c r="E120" s="1" t="s">
        <v>195</v>
      </c>
      <c r="G120" s="4">
        <f t="shared" ca="1" si="3"/>
        <v>0.70812858796125511</v>
      </c>
    </row>
    <row r="121" spans="1:7" x14ac:dyDescent="0.25">
      <c r="A121" s="2" t="e">
        <f>Various!#REF!</f>
        <v>#REF!</v>
      </c>
      <c r="B121" s="1" t="s">
        <v>109</v>
      </c>
      <c r="C121" s="1">
        <f>IF(Print!C16="","",Print!C16)</f>
        <v>0</v>
      </c>
      <c r="D121" s="1" t="s">
        <v>14</v>
      </c>
      <c r="E121" s="1" t="s">
        <v>196</v>
      </c>
      <c r="G121" s="4">
        <f t="shared" ca="1" si="3"/>
        <v>0.70812858796125511</v>
      </c>
    </row>
    <row r="122" spans="1:7" x14ac:dyDescent="0.25">
      <c r="A122" s="2" t="e">
        <f>Various!#REF!</f>
        <v>#REF!</v>
      </c>
      <c r="B122" s="1" t="s">
        <v>110</v>
      </c>
      <c r="C122" s="1">
        <f>IF(Print!C17="","",Print!C17)</f>
        <v>0</v>
      </c>
      <c r="D122" s="1" t="s">
        <v>14</v>
      </c>
      <c r="E122" s="1" t="s">
        <v>196</v>
      </c>
      <c r="G122" s="4">
        <f t="shared" ca="1" si="3"/>
        <v>0.70812858796125511</v>
      </c>
    </row>
    <row r="123" spans="1:7" x14ac:dyDescent="0.25">
      <c r="A123" s="2" t="e">
        <f>Various!#REF!</f>
        <v>#REF!</v>
      </c>
      <c r="B123" s="1" t="s">
        <v>197</v>
      </c>
      <c r="C123" s="1" t="str">
        <f>IF(Various!R17="","",Various!R17)</f>
        <v/>
      </c>
      <c r="D123" t="s">
        <v>198</v>
      </c>
      <c r="E123" s="1" t="s">
        <v>188</v>
      </c>
      <c r="G123" s="4">
        <f t="shared" ca="1" si="3"/>
        <v>0.70812858796125511</v>
      </c>
    </row>
    <row r="124" spans="1:7" x14ac:dyDescent="0.25">
      <c r="A124" s="2" t="e">
        <f>Various!#REF!</f>
        <v>#REF!</v>
      </c>
      <c r="B124" s="1" t="s">
        <v>197</v>
      </c>
      <c r="C124" s="1" t="str">
        <f>IF(Various!R18="","",Various!R18)</f>
        <v/>
      </c>
      <c r="D124" t="s">
        <v>198</v>
      </c>
      <c r="E124" s="1" t="s">
        <v>190</v>
      </c>
      <c r="G124" s="4">
        <f t="shared" ca="1" si="3"/>
        <v>0.70812858796125511</v>
      </c>
    </row>
    <row r="125" spans="1:7" x14ac:dyDescent="0.25">
      <c r="A125" s="2" t="e">
        <f>Various!#REF!</f>
        <v>#REF!</v>
      </c>
      <c r="B125" s="1" t="s">
        <v>199</v>
      </c>
      <c r="C125" s="1" t="e">
        <f>IF(Various!#REF!="","",Various!#REF!)</f>
        <v>#REF!</v>
      </c>
      <c r="D125" s="1" t="s">
        <v>200</v>
      </c>
      <c r="E125" s="1" t="s">
        <v>201</v>
      </c>
      <c r="G125" s="4">
        <f t="shared" ca="1" si="3"/>
        <v>0.70812858796125511</v>
      </c>
    </row>
    <row r="126" spans="1:7" x14ac:dyDescent="0.25">
      <c r="A126" s="2" t="e">
        <f>Various!#REF!</f>
        <v>#REF!</v>
      </c>
      <c r="B126" s="1" t="s">
        <v>199</v>
      </c>
      <c r="C126" s="1" t="e">
        <f>IF(Various!#REF!="","",Various!#REF!)</f>
        <v>#REF!</v>
      </c>
      <c r="D126" s="1" t="s">
        <v>200</v>
      </c>
      <c r="E126" s="1" t="s">
        <v>202</v>
      </c>
      <c r="G126" s="4">
        <f t="shared" ca="1" si="3"/>
        <v>0.70812858796125511</v>
      </c>
    </row>
    <row r="127" spans="1:7" x14ac:dyDescent="0.25">
      <c r="A127" s="2" t="e">
        <f>Various!#REF!</f>
        <v>#REF!</v>
      </c>
      <c r="B127" s="1" t="s">
        <v>199</v>
      </c>
      <c r="C127" s="1" t="str">
        <f>IF(Various!N31="","",Various!N31)</f>
        <v/>
      </c>
      <c r="D127" s="1" t="s">
        <v>200</v>
      </c>
      <c r="E127" s="1" t="s">
        <v>203</v>
      </c>
      <c r="G127" s="4">
        <f t="shared" ca="1" si="3"/>
        <v>0.70812858796125511</v>
      </c>
    </row>
    <row r="128" spans="1:7" x14ac:dyDescent="0.25">
      <c r="A128" s="2" t="e">
        <f>Various!#REF!</f>
        <v>#REF!</v>
      </c>
      <c r="B128" s="1" t="s">
        <v>199</v>
      </c>
      <c r="C128" s="1" t="str">
        <f>IF(Various!N32="","",Various!N32)</f>
        <v/>
      </c>
      <c r="D128" s="1" t="s">
        <v>200</v>
      </c>
      <c r="E128" s="1" t="s">
        <v>204</v>
      </c>
      <c r="G128" s="4">
        <f t="shared" ca="1" si="3"/>
        <v>0.70812858796125511</v>
      </c>
    </row>
    <row r="129" spans="1:7" x14ac:dyDescent="0.25">
      <c r="A129" s="2" t="e">
        <f>Various!#REF!</f>
        <v>#REF!</v>
      </c>
      <c r="B129" s="1" t="s">
        <v>205</v>
      </c>
      <c r="C129" s="1" t="str">
        <f>IF(Lagoon!H4="","",Lagoon!H4)</f>
        <v/>
      </c>
      <c r="D129" t="s">
        <v>206</v>
      </c>
      <c r="E129" s="1" t="s">
        <v>207</v>
      </c>
      <c r="F129" s="7" t="s">
        <v>150</v>
      </c>
      <c r="G129" s="4">
        <f t="shared" ca="1" si="3"/>
        <v>0.70812858796125511</v>
      </c>
    </row>
    <row r="130" spans="1:7" x14ac:dyDescent="0.25">
      <c r="A130" s="2" t="e">
        <f>Various!#REF!</f>
        <v>#REF!</v>
      </c>
      <c r="B130" s="1" t="s">
        <v>205</v>
      </c>
      <c r="C130" s="1" t="str">
        <f>IF(Lagoon!H5="","",Lagoon!H5)</f>
        <v/>
      </c>
      <c r="D130" t="s">
        <v>206</v>
      </c>
      <c r="E130" s="1" t="s">
        <v>207</v>
      </c>
      <c r="F130" s="1" t="s">
        <v>160</v>
      </c>
      <c r="G130" s="4">
        <f t="shared" ca="1" si="3"/>
        <v>0.70812858796125511</v>
      </c>
    </row>
    <row r="131" spans="1:7" x14ac:dyDescent="0.25">
      <c r="A131" s="2" t="e">
        <f>Various!#REF!</f>
        <v>#REF!</v>
      </c>
      <c r="B131" s="1" t="s">
        <v>205</v>
      </c>
      <c r="C131" s="1" t="str">
        <f>IF(Lagoon!H6="","",Lagoon!H6)</f>
        <v/>
      </c>
      <c r="D131" t="s">
        <v>206</v>
      </c>
      <c r="E131" s="1" t="s">
        <v>207</v>
      </c>
      <c r="F131" s="1" t="s">
        <v>161</v>
      </c>
      <c r="G131" s="4">
        <f t="shared" ca="1" si="3"/>
        <v>0.70812858796125511</v>
      </c>
    </row>
    <row r="132" spans="1:7" x14ac:dyDescent="0.25">
      <c r="A132" s="2" t="e">
        <f>Various!#REF!</f>
        <v>#REF!</v>
      </c>
      <c r="B132" s="1" t="s">
        <v>205</v>
      </c>
      <c r="C132" s="1" t="str">
        <f>IF(Lagoon!I4="","",Lagoon!I4)</f>
        <v/>
      </c>
      <c r="D132" t="s">
        <v>206</v>
      </c>
      <c r="E132" s="1" t="s">
        <v>208</v>
      </c>
      <c r="F132" s="7" t="s">
        <v>150</v>
      </c>
      <c r="G132" s="4">
        <f t="shared" ca="1" si="3"/>
        <v>0.70812858796125511</v>
      </c>
    </row>
    <row r="133" spans="1:7" x14ac:dyDescent="0.25">
      <c r="A133" s="2" t="e">
        <f>Various!#REF!</f>
        <v>#REF!</v>
      </c>
      <c r="B133" s="1" t="s">
        <v>205</v>
      </c>
      <c r="C133" s="1" t="str">
        <f>IF(Lagoon!I5="","",Lagoon!I5)</f>
        <v/>
      </c>
      <c r="D133" t="s">
        <v>206</v>
      </c>
      <c r="E133" s="1" t="s">
        <v>208</v>
      </c>
      <c r="F133" s="1" t="s">
        <v>160</v>
      </c>
      <c r="G133" s="4">
        <f t="shared" ca="1" si="3"/>
        <v>0.70812858796125511</v>
      </c>
    </row>
    <row r="134" spans="1:7" x14ac:dyDescent="0.25">
      <c r="A134" s="2" t="e">
        <f>Various!#REF!</f>
        <v>#REF!</v>
      </c>
      <c r="B134" s="1" t="s">
        <v>205</v>
      </c>
      <c r="C134" s="1" t="str">
        <f>IF(Lagoon!I6="","",Lagoon!I6)</f>
        <v/>
      </c>
      <c r="D134" t="s">
        <v>206</v>
      </c>
      <c r="E134" s="1" t="s">
        <v>208</v>
      </c>
      <c r="F134" s="1" t="s">
        <v>161</v>
      </c>
      <c r="G134" s="4">
        <f t="shared" ca="1" si="3"/>
        <v>0.70812858796125511</v>
      </c>
    </row>
    <row r="135" spans="1:7" x14ac:dyDescent="0.25">
      <c r="A135" s="2" t="e">
        <f>Various!#REF!</f>
        <v>#REF!</v>
      </c>
      <c r="B135" s="1" t="s">
        <v>205</v>
      </c>
      <c r="C135" s="1" t="str">
        <f>IF(Lagoon!J4="","",Lagoon!J4)</f>
        <v/>
      </c>
      <c r="D135" t="s">
        <v>206</v>
      </c>
      <c r="E135" s="1" t="s">
        <v>209</v>
      </c>
      <c r="F135" s="7" t="s">
        <v>150</v>
      </c>
      <c r="G135" s="4">
        <f t="shared" ca="1" si="3"/>
        <v>0.70812858796125511</v>
      </c>
    </row>
    <row r="136" spans="1:7" x14ac:dyDescent="0.25">
      <c r="A136" s="2" t="e">
        <f>Various!#REF!</f>
        <v>#REF!</v>
      </c>
      <c r="B136" s="1" t="s">
        <v>205</v>
      </c>
      <c r="C136" s="1" t="str">
        <f>IF(Lagoon!J5="","",Lagoon!J5)</f>
        <v/>
      </c>
      <c r="D136" t="s">
        <v>206</v>
      </c>
      <c r="E136" s="1" t="s">
        <v>209</v>
      </c>
      <c r="F136" s="1" t="s">
        <v>160</v>
      </c>
      <c r="G136" s="4">
        <f t="shared" ca="1" si="3"/>
        <v>0.70812858796125511</v>
      </c>
    </row>
    <row r="137" spans="1:7" x14ac:dyDescent="0.25">
      <c r="A137" s="2" t="e">
        <f>Various!#REF!</f>
        <v>#REF!</v>
      </c>
      <c r="B137" s="1" t="s">
        <v>205</v>
      </c>
      <c r="C137" s="1" t="str">
        <f>IF(Lagoon!J6="","",Lagoon!J6)</f>
        <v/>
      </c>
      <c r="D137" t="s">
        <v>206</v>
      </c>
      <c r="E137" s="1" t="s">
        <v>209</v>
      </c>
      <c r="F137" s="1" t="s">
        <v>161</v>
      </c>
      <c r="G137" s="4">
        <f t="shared" ca="1" si="3"/>
        <v>0.70812858796125511</v>
      </c>
    </row>
    <row r="138" spans="1:7" x14ac:dyDescent="0.25">
      <c r="A138" s="2" t="e">
        <f>Various!#REF!</f>
        <v>#REF!</v>
      </c>
      <c r="B138" s="1" t="s">
        <v>205</v>
      </c>
      <c r="C138" s="1" t="str">
        <f>IF(Lagoon!K5="","",Lagoon!K5)</f>
        <v/>
      </c>
      <c r="D138" t="s">
        <v>206</v>
      </c>
      <c r="E138" s="1" t="s">
        <v>210</v>
      </c>
      <c r="F138" s="7" t="s">
        <v>150</v>
      </c>
      <c r="G138" s="4">
        <f t="shared" ca="1" si="3"/>
        <v>0.70812858796125511</v>
      </c>
    </row>
    <row r="139" spans="1:7" x14ac:dyDescent="0.25">
      <c r="A139" s="2" t="e">
        <f>Various!#REF!</f>
        <v>#REF!</v>
      </c>
      <c r="B139" s="1" t="s">
        <v>205</v>
      </c>
      <c r="C139" s="1" t="str">
        <f>IF(Lagoon!K6="","",Lagoon!K6)</f>
        <v/>
      </c>
      <c r="D139" t="s">
        <v>206</v>
      </c>
      <c r="E139" s="1" t="s">
        <v>210</v>
      </c>
      <c r="F139" s="1" t="s">
        <v>160</v>
      </c>
      <c r="G139" s="4">
        <f t="shared" ca="1" si="3"/>
        <v>0.70812858796125511</v>
      </c>
    </row>
    <row r="140" spans="1:7" x14ac:dyDescent="0.25">
      <c r="A140" s="2" t="e">
        <f>Various!#REF!</f>
        <v>#REF!</v>
      </c>
      <c r="B140" s="1" t="s">
        <v>205</v>
      </c>
      <c r="C140" s="1" t="str">
        <f>IF(Lagoon!K6="","",Lagoon!K6)</f>
        <v/>
      </c>
      <c r="D140" t="s">
        <v>206</v>
      </c>
      <c r="E140" s="1" t="s">
        <v>210</v>
      </c>
      <c r="F140" s="1" t="s">
        <v>161</v>
      </c>
      <c r="G140" s="4">
        <f t="shared" ca="1" si="3"/>
        <v>0.70812858796125511</v>
      </c>
    </row>
    <row r="141" spans="1:7" x14ac:dyDescent="0.25">
      <c r="A141" s="2" t="e">
        <f>Various!#REF!</f>
        <v>#REF!</v>
      </c>
      <c r="B141" s="1" t="s">
        <v>54</v>
      </c>
      <c r="C141" s="1" t="e">
        <f>IF(Various!#REF!="","",Various!#REF!)</f>
        <v>#REF!</v>
      </c>
      <c r="D141" t="s">
        <v>211</v>
      </c>
      <c r="E141" s="1" t="s">
        <v>207</v>
      </c>
      <c r="F141" s="7" t="s">
        <v>150</v>
      </c>
      <c r="G141" s="4">
        <f t="shared" ca="1" si="3"/>
        <v>0.70812858796125511</v>
      </c>
    </row>
    <row r="142" spans="1:7" x14ac:dyDescent="0.25">
      <c r="A142" s="2" t="e">
        <f>Various!#REF!</f>
        <v>#REF!</v>
      </c>
      <c r="B142" s="1" t="s">
        <v>54</v>
      </c>
      <c r="C142" s="1" t="e">
        <f>IF(Various!#REF!="","",Various!#REF!)</f>
        <v>#REF!</v>
      </c>
      <c r="D142" t="s">
        <v>211</v>
      </c>
      <c r="E142" s="1" t="s">
        <v>207</v>
      </c>
      <c r="F142" s="1" t="s">
        <v>160</v>
      </c>
      <c r="G142" s="4">
        <f t="shared" ca="1" si="3"/>
        <v>0.70812858796125511</v>
      </c>
    </row>
    <row r="143" spans="1:7" x14ac:dyDescent="0.25">
      <c r="A143" s="2" t="e">
        <f>Various!#REF!</f>
        <v>#REF!</v>
      </c>
      <c r="B143" s="1" t="s">
        <v>54</v>
      </c>
      <c r="C143" s="1" t="e">
        <f>IF(Various!#REF!="","",Various!#REF!)</f>
        <v>#REF!</v>
      </c>
      <c r="D143" t="s">
        <v>211</v>
      </c>
      <c r="E143" s="1" t="s">
        <v>207</v>
      </c>
      <c r="F143" s="1" t="s">
        <v>161</v>
      </c>
      <c r="G143" s="4">
        <f t="shared" ca="1" si="3"/>
        <v>0.70812858796125511</v>
      </c>
    </row>
    <row r="144" spans="1:7" x14ac:dyDescent="0.25">
      <c r="A144" s="2" t="e">
        <f>Various!#REF!</f>
        <v>#REF!</v>
      </c>
      <c r="B144" s="1" t="s">
        <v>54</v>
      </c>
      <c r="C144" s="1" t="e">
        <f>IF(Various!#REF!="","",Various!#REF!)</f>
        <v>#REF!</v>
      </c>
      <c r="D144" t="s">
        <v>211</v>
      </c>
      <c r="E144" s="1" t="s">
        <v>208</v>
      </c>
      <c r="F144" s="7" t="s">
        <v>150</v>
      </c>
      <c r="G144" s="4">
        <f t="shared" ca="1" si="3"/>
        <v>0.70812858796125511</v>
      </c>
    </row>
    <row r="145" spans="1:7" x14ac:dyDescent="0.25">
      <c r="A145" s="2" t="e">
        <f>Various!#REF!</f>
        <v>#REF!</v>
      </c>
      <c r="B145" s="1" t="s">
        <v>54</v>
      </c>
      <c r="C145" s="1" t="e">
        <f>IF(Various!#REF!="","",Various!#REF!)</f>
        <v>#REF!</v>
      </c>
      <c r="D145" t="s">
        <v>211</v>
      </c>
      <c r="E145" s="1" t="s">
        <v>208</v>
      </c>
      <c r="F145" s="1" t="s">
        <v>160</v>
      </c>
      <c r="G145" s="4">
        <f t="shared" ca="1" si="3"/>
        <v>0.70812858796125511</v>
      </c>
    </row>
    <row r="146" spans="1:7" x14ac:dyDescent="0.25">
      <c r="A146" s="2" t="e">
        <f>Various!#REF!</f>
        <v>#REF!</v>
      </c>
      <c r="B146" s="1" t="s">
        <v>54</v>
      </c>
      <c r="C146" s="1" t="e">
        <f>IF(Various!#REF!="","",Various!#REF!)</f>
        <v>#REF!</v>
      </c>
      <c r="D146" t="s">
        <v>211</v>
      </c>
      <c r="E146" s="1" t="s">
        <v>208</v>
      </c>
      <c r="F146" s="1" t="s">
        <v>161</v>
      </c>
      <c r="G146" s="4">
        <f t="shared" ca="1" si="3"/>
        <v>0.70812858796125511</v>
      </c>
    </row>
    <row r="147" spans="1:7" x14ac:dyDescent="0.25">
      <c r="A147" s="2" t="e">
        <f>Various!#REF!</f>
        <v>#REF!</v>
      </c>
      <c r="B147" s="1" t="s">
        <v>54</v>
      </c>
      <c r="C147" s="1" t="e">
        <f>IF(Various!#REF!="","",Various!#REF!)</f>
        <v>#REF!</v>
      </c>
      <c r="D147" t="s">
        <v>211</v>
      </c>
      <c r="E147" s="1" t="s">
        <v>209</v>
      </c>
      <c r="F147" s="7" t="s">
        <v>150</v>
      </c>
      <c r="G147" s="4">
        <f t="shared" ref="G147:G178" ca="1" si="4">NOW()-ROUNDDOWN(NOW(),0)</f>
        <v>0.70812858796125511</v>
      </c>
    </row>
    <row r="148" spans="1:7" x14ac:dyDescent="0.25">
      <c r="A148" s="2" t="e">
        <f>Various!#REF!</f>
        <v>#REF!</v>
      </c>
      <c r="B148" s="1" t="s">
        <v>54</v>
      </c>
      <c r="C148" s="1" t="e">
        <f>IF(Various!#REF!="","",Various!#REF!)</f>
        <v>#REF!</v>
      </c>
      <c r="D148" t="s">
        <v>211</v>
      </c>
      <c r="E148" s="1" t="s">
        <v>209</v>
      </c>
      <c r="F148" s="1" t="s">
        <v>160</v>
      </c>
      <c r="G148" s="4">
        <f t="shared" ca="1" si="4"/>
        <v>0.70812858796125511</v>
      </c>
    </row>
    <row r="149" spans="1:7" x14ac:dyDescent="0.25">
      <c r="A149" s="2" t="e">
        <f>Various!#REF!</f>
        <v>#REF!</v>
      </c>
      <c r="B149" s="1" t="s">
        <v>54</v>
      </c>
      <c r="C149" s="1" t="e">
        <f>IF(Various!#REF!="","",Various!#REF!)</f>
        <v>#REF!</v>
      </c>
      <c r="D149" t="s">
        <v>211</v>
      </c>
      <c r="E149" s="1" t="s">
        <v>209</v>
      </c>
      <c r="F149" s="1" t="s">
        <v>161</v>
      </c>
      <c r="G149" s="4">
        <f t="shared" ca="1" si="4"/>
        <v>0.70812858796125511</v>
      </c>
    </row>
    <row r="150" spans="1:7" x14ac:dyDescent="0.25">
      <c r="A150" s="2" t="e">
        <f>Various!#REF!</f>
        <v>#REF!</v>
      </c>
      <c r="B150" s="1" t="s">
        <v>54</v>
      </c>
      <c r="C150" s="1" t="e">
        <f>IF(Various!#REF!="","",Various!#REF!)</f>
        <v>#REF!</v>
      </c>
      <c r="D150" t="s">
        <v>211</v>
      </c>
      <c r="E150" s="1" t="s">
        <v>210</v>
      </c>
      <c r="F150" s="7" t="s">
        <v>150</v>
      </c>
      <c r="G150" s="4">
        <f t="shared" ca="1" si="4"/>
        <v>0.70812858796125511</v>
      </c>
    </row>
    <row r="151" spans="1:7" x14ac:dyDescent="0.25">
      <c r="A151" s="2" t="e">
        <f>Various!#REF!</f>
        <v>#REF!</v>
      </c>
      <c r="B151" s="1" t="s">
        <v>54</v>
      </c>
      <c r="C151" s="1" t="e">
        <f>IF(Various!#REF!="","",Various!#REF!)</f>
        <v>#REF!</v>
      </c>
      <c r="D151" t="s">
        <v>211</v>
      </c>
      <c r="E151" s="1" t="s">
        <v>210</v>
      </c>
      <c r="F151" s="1" t="s">
        <v>160</v>
      </c>
      <c r="G151" s="4">
        <f t="shared" ca="1" si="4"/>
        <v>0.70812858796125511</v>
      </c>
    </row>
    <row r="152" spans="1:7" x14ac:dyDescent="0.25">
      <c r="A152" s="2" t="e">
        <f>Various!#REF!</f>
        <v>#REF!</v>
      </c>
      <c r="B152" s="1" t="s">
        <v>54</v>
      </c>
      <c r="C152" s="1" t="e">
        <f>IF(Various!#REF!="","",Various!#REF!)</f>
        <v>#REF!</v>
      </c>
      <c r="D152" t="s">
        <v>211</v>
      </c>
      <c r="E152" s="1" t="s">
        <v>210</v>
      </c>
      <c r="F152" s="1" t="s">
        <v>161</v>
      </c>
      <c r="G152" s="4">
        <f t="shared" ca="1" si="4"/>
        <v>0.70812858796125511</v>
      </c>
    </row>
    <row r="153" spans="1:7" x14ac:dyDescent="0.25">
      <c r="A153" s="2" t="e">
        <f>Various!#REF!</f>
        <v>#REF!</v>
      </c>
      <c r="B153" s="1" t="s">
        <v>54</v>
      </c>
      <c r="C153" s="1" t="e">
        <f>IF(Various!#REF!="","",Various!#REF!)</f>
        <v>#REF!</v>
      </c>
      <c r="D153" t="s">
        <v>211</v>
      </c>
      <c r="E153" s="1" t="s">
        <v>212</v>
      </c>
      <c r="F153" s="7" t="s">
        <v>150</v>
      </c>
      <c r="G153" s="4">
        <f t="shared" ca="1" si="4"/>
        <v>0.70812858796125511</v>
      </c>
    </row>
    <row r="154" spans="1:7" x14ac:dyDescent="0.25">
      <c r="A154" s="2" t="e">
        <f>Various!#REF!</f>
        <v>#REF!</v>
      </c>
      <c r="B154" s="1" t="s">
        <v>54</v>
      </c>
      <c r="C154" s="1" t="e">
        <f>IF(Various!#REF!="","",Various!#REF!)</f>
        <v>#REF!</v>
      </c>
      <c r="D154" t="s">
        <v>211</v>
      </c>
      <c r="E154" s="1" t="s">
        <v>212</v>
      </c>
      <c r="F154" s="1" t="s">
        <v>160</v>
      </c>
      <c r="G154" s="4">
        <f t="shared" ca="1" si="4"/>
        <v>0.70812858796125511</v>
      </c>
    </row>
    <row r="155" spans="1:7" x14ac:dyDescent="0.25">
      <c r="A155" s="2" t="e">
        <f>Various!#REF!</f>
        <v>#REF!</v>
      </c>
      <c r="B155" s="1" t="s">
        <v>54</v>
      </c>
      <c r="C155" s="1" t="e">
        <f>IF(Various!#REF!="","",Various!#REF!)</f>
        <v>#REF!</v>
      </c>
      <c r="D155" t="s">
        <v>211</v>
      </c>
      <c r="E155" s="1" t="s">
        <v>212</v>
      </c>
      <c r="F155" s="1" t="s">
        <v>161</v>
      </c>
      <c r="G155" s="4">
        <f t="shared" ca="1" si="4"/>
        <v>0.70812858796125511</v>
      </c>
    </row>
    <row r="156" spans="1:7" x14ac:dyDescent="0.25">
      <c r="A156" s="2" t="e">
        <f>Various!#REF!</f>
        <v>#REF!</v>
      </c>
      <c r="B156" s="1" t="s">
        <v>54</v>
      </c>
      <c r="C156" s="1" t="e">
        <f>IF(Various!#REF!="","",Various!#REF!)</f>
        <v>#REF!</v>
      </c>
      <c r="D156" t="s">
        <v>211</v>
      </c>
      <c r="E156" s="1" t="s">
        <v>213</v>
      </c>
      <c r="F156" s="7" t="s">
        <v>150</v>
      </c>
      <c r="G156" s="4">
        <f t="shared" ca="1" si="4"/>
        <v>0.70812858796125511</v>
      </c>
    </row>
    <row r="157" spans="1:7" x14ac:dyDescent="0.25">
      <c r="A157" s="2" t="e">
        <f>Various!#REF!</f>
        <v>#REF!</v>
      </c>
      <c r="B157" s="1" t="s">
        <v>54</v>
      </c>
      <c r="C157" s="1" t="e">
        <f>IF(Various!#REF!="","",Various!#REF!)</f>
        <v>#REF!</v>
      </c>
      <c r="D157" t="s">
        <v>211</v>
      </c>
      <c r="E157" s="1" t="s">
        <v>213</v>
      </c>
      <c r="F157" s="1" t="s">
        <v>160</v>
      </c>
      <c r="G157" s="4">
        <f t="shared" ca="1" si="4"/>
        <v>0.70812858796125511</v>
      </c>
    </row>
    <row r="158" spans="1:7" x14ac:dyDescent="0.25">
      <c r="A158" s="2" t="e">
        <f>Various!#REF!</f>
        <v>#REF!</v>
      </c>
      <c r="B158" s="1" t="s">
        <v>54</v>
      </c>
      <c r="C158" s="1" t="e">
        <f>IF(Various!#REF!="","",Various!#REF!)</f>
        <v>#REF!</v>
      </c>
      <c r="D158" t="s">
        <v>211</v>
      </c>
      <c r="E158" s="1" t="s">
        <v>213</v>
      </c>
      <c r="F158" s="1" t="s">
        <v>161</v>
      </c>
      <c r="G158" s="4">
        <f t="shared" ca="1" si="4"/>
        <v>0.70812858796125511</v>
      </c>
    </row>
    <row r="159" spans="1:7" x14ac:dyDescent="0.25">
      <c r="A159" s="2" t="e">
        <f>Various!#REF!</f>
        <v>#REF!</v>
      </c>
      <c r="B159" s="1" t="s">
        <v>54</v>
      </c>
      <c r="C159" s="1" t="e">
        <f>IF(Various!#REF!="","",Various!#REF!)</f>
        <v>#REF!</v>
      </c>
      <c r="D159" t="s">
        <v>211</v>
      </c>
      <c r="E159" s="1" t="s">
        <v>214</v>
      </c>
      <c r="F159" s="7" t="s">
        <v>150</v>
      </c>
      <c r="G159" s="4">
        <f t="shared" ca="1" si="4"/>
        <v>0.70812858796125511</v>
      </c>
    </row>
    <row r="160" spans="1:7" x14ac:dyDescent="0.25">
      <c r="A160" s="2" t="e">
        <f>Various!#REF!</f>
        <v>#REF!</v>
      </c>
      <c r="B160" s="1" t="s">
        <v>54</v>
      </c>
      <c r="C160" s="1" t="e">
        <f>IF(Various!#REF!="","",Various!#REF!)</f>
        <v>#REF!</v>
      </c>
      <c r="D160" t="s">
        <v>211</v>
      </c>
      <c r="E160" s="1" t="s">
        <v>214</v>
      </c>
      <c r="F160" s="1" t="s">
        <v>160</v>
      </c>
      <c r="G160" s="4">
        <f t="shared" ca="1" si="4"/>
        <v>0.70812858796125511</v>
      </c>
    </row>
    <row r="161" spans="1:8" x14ac:dyDescent="0.25">
      <c r="A161" s="2" t="e">
        <f>Various!#REF!</f>
        <v>#REF!</v>
      </c>
      <c r="B161" s="1" t="s">
        <v>54</v>
      </c>
      <c r="C161" s="1" t="e">
        <f>IF(Various!#REF!="","",Various!#REF!)</f>
        <v>#REF!</v>
      </c>
      <c r="D161" t="s">
        <v>211</v>
      </c>
      <c r="E161" s="1" t="s">
        <v>214</v>
      </c>
      <c r="F161" s="1" t="s">
        <v>161</v>
      </c>
      <c r="G161" s="4">
        <f t="shared" ca="1" si="4"/>
        <v>0.70812858796125511</v>
      </c>
    </row>
    <row r="162" spans="1:8" x14ac:dyDescent="0.25">
      <c r="A162" s="2" t="e">
        <f>Various!#REF!</f>
        <v>#REF!</v>
      </c>
      <c r="B162" s="1" t="s">
        <v>54</v>
      </c>
      <c r="C162" s="1" t="e">
        <f>IF(Various!#REF!="","",Various!#REF!)</f>
        <v>#REF!</v>
      </c>
      <c r="D162" t="s">
        <v>211</v>
      </c>
      <c r="E162" s="1" t="s">
        <v>215</v>
      </c>
      <c r="F162" s="7" t="s">
        <v>150</v>
      </c>
      <c r="G162" s="4">
        <f t="shared" ca="1" si="4"/>
        <v>0.70812858796125511</v>
      </c>
    </row>
    <row r="163" spans="1:8" x14ac:dyDescent="0.25">
      <c r="A163" s="2" t="e">
        <f>Various!#REF!</f>
        <v>#REF!</v>
      </c>
      <c r="B163" s="1" t="s">
        <v>54</v>
      </c>
      <c r="C163" s="1" t="e">
        <f>IF(Various!#REF!="","",Various!#REF!)</f>
        <v>#REF!</v>
      </c>
      <c r="D163" t="s">
        <v>211</v>
      </c>
      <c r="E163" s="1" t="s">
        <v>215</v>
      </c>
      <c r="F163" s="1" t="s">
        <v>160</v>
      </c>
      <c r="G163" s="4">
        <f t="shared" ca="1" si="4"/>
        <v>0.70812858796125511</v>
      </c>
    </row>
    <row r="164" spans="1:8" x14ac:dyDescent="0.25">
      <c r="A164" s="2" t="e">
        <f>Various!#REF!</f>
        <v>#REF!</v>
      </c>
      <c r="B164" s="1" t="s">
        <v>54</v>
      </c>
      <c r="C164" s="1" t="e">
        <f>IF(Various!#REF!="","",Various!#REF!)</f>
        <v>#REF!</v>
      </c>
      <c r="D164" t="s">
        <v>211</v>
      </c>
      <c r="E164" s="1" t="s">
        <v>215</v>
      </c>
      <c r="F164" s="1" t="s">
        <v>161</v>
      </c>
      <c r="G164" s="4">
        <f t="shared" ca="1" si="4"/>
        <v>0.70812858796125511</v>
      </c>
    </row>
    <row r="165" spans="1:8" x14ac:dyDescent="0.25">
      <c r="A165" s="2" t="e">
        <f>Various!#REF!</f>
        <v>#REF!</v>
      </c>
      <c r="B165" s="1" t="s">
        <v>168</v>
      </c>
      <c r="C165" s="1" t="e">
        <f>IF(Various!#REF!="","",Various!#REF!)</f>
        <v>#REF!</v>
      </c>
      <c r="D165" s="1" t="s">
        <v>169</v>
      </c>
      <c r="E165" s="1" t="s">
        <v>216</v>
      </c>
      <c r="G165" s="4">
        <f t="shared" ca="1" si="4"/>
        <v>0.70812858796125511</v>
      </c>
    </row>
    <row r="166" spans="1:8" x14ac:dyDescent="0.25">
      <c r="A166" s="2" t="e">
        <f>Various!#REF!</f>
        <v>#REF!</v>
      </c>
      <c r="B166" s="1" t="s">
        <v>168</v>
      </c>
      <c r="C166" s="1" t="e">
        <f>IF(Various!#REF!="","",Various!#REF!)</f>
        <v>#REF!</v>
      </c>
      <c r="D166" s="1" t="s">
        <v>169</v>
      </c>
      <c r="E166" s="1" t="s">
        <v>217</v>
      </c>
      <c r="G166" s="4">
        <f t="shared" ca="1" si="4"/>
        <v>0.70812858796125511</v>
      </c>
    </row>
    <row r="167" spans="1:8" x14ac:dyDescent="0.25">
      <c r="A167" s="2" t="e">
        <f>Various!#REF!</f>
        <v>#REF!</v>
      </c>
      <c r="B167" s="1" t="s">
        <v>168</v>
      </c>
      <c r="C167" s="1" t="e">
        <f>IF(Various!#REF!="","",Various!#REF!)</f>
        <v>#REF!</v>
      </c>
      <c r="D167" s="1" t="s">
        <v>169</v>
      </c>
      <c r="E167" s="1" t="s">
        <v>218</v>
      </c>
      <c r="G167" s="4">
        <f t="shared" ca="1" si="4"/>
        <v>0.70812858796125511</v>
      </c>
    </row>
    <row r="168" spans="1:8" x14ac:dyDescent="0.25">
      <c r="A168" s="2" t="e">
        <f>Various!#REF!</f>
        <v>#REF!</v>
      </c>
      <c r="B168" s="1" t="s">
        <v>168</v>
      </c>
      <c r="C168" s="1" t="e">
        <f>IF(Various!#REF!="","",Various!#REF!)</f>
        <v>#REF!</v>
      </c>
      <c r="D168" s="1" t="s">
        <v>169</v>
      </c>
      <c r="E168" s="1" t="s">
        <v>219</v>
      </c>
      <c r="G168" s="4">
        <f t="shared" ca="1" si="4"/>
        <v>0.70812858796125511</v>
      </c>
    </row>
    <row r="169" spans="1:8" x14ac:dyDescent="0.25">
      <c r="A169" s="2" t="e">
        <f>Various!#REF!</f>
        <v>#REF!</v>
      </c>
      <c r="B169" s="1" t="s">
        <v>168</v>
      </c>
      <c r="C169" s="1" t="e">
        <f>IF(Various!#REF!="","",Various!#REF!)</f>
        <v>#REF!</v>
      </c>
      <c r="D169" s="1" t="s">
        <v>169</v>
      </c>
      <c r="E169" s="1" t="s">
        <v>220</v>
      </c>
      <c r="G169" s="4">
        <f t="shared" ca="1" si="4"/>
        <v>0.70812858796125511</v>
      </c>
    </row>
    <row r="170" spans="1:8" x14ac:dyDescent="0.25">
      <c r="A170" s="2" t="e">
        <f>Various!#REF!</f>
        <v>#REF!</v>
      </c>
      <c r="B170" s="1" t="s">
        <v>168</v>
      </c>
      <c r="C170" s="1" t="e">
        <f>IF(Various!#REF!="","",Various!#REF!)</f>
        <v>#REF!</v>
      </c>
      <c r="D170" s="1" t="s">
        <v>169</v>
      </c>
      <c r="E170" s="1" t="s">
        <v>221</v>
      </c>
      <c r="G170" s="4">
        <f t="shared" ca="1" si="4"/>
        <v>0.70812858796125511</v>
      </c>
    </row>
    <row r="171" spans="1:8" x14ac:dyDescent="0.25">
      <c r="A171" s="2" t="e">
        <f>Various!#REF!</f>
        <v>#REF!</v>
      </c>
      <c r="B171" s="1" t="s">
        <v>222</v>
      </c>
      <c r="C171" s="1" t="e">
        <f>IF(Print!#REF!="","",Print!#REF!)</f>
        <v>#REF!</v>
      </c>
      <c r="D171" s="1" t="s">
        <v>211</v>
      </c>
      <c r="E171" s="1" t="s">
        <v>223</v>
      </c>
      <c r="G171" s="4">
        <f t="shared" ca="1" si="4"/>
        <v>0.70812858796125511</v>
      </c>
    </row>
    <row r="172" spans="1:8" x14ac:dyDescent="0.25">
      <c r="A172" s="2" t="e">
        <f>Various!#REF!</f>
        <v>#REF!</v>
      </c>
      <c r="B172" s="1" t="s">
        <v>224</v>
      </c>
      <c r="C172" s="1" t="str">
        <f>IF(Print!C13="","",Print!C13)</f>
        <v>Empty</v>
      </c>
      <c r="D172" s="1" t="s">
        <v>211</v>
      </c>
      <c r="E172" s="1" t="s">
        <v>223</v>
      </c>
      <c r="G172" s="4">
        <f t="shared" ca="1" si="4"/>
        <v>0.70812858796125511</v>
      </c>
      <c r="H172" s="8"/>
    </row>
    <row r="173" spans="1:8" x14ac:dyDescent="0.25">
      <c r="A173" s="2" t="e">
        <f>Various!#REF!</f>
        <v>#REF!</v>
      </c>
      <c r="B173" t="s">
        <v>225</v>
      </c>
      <c r="C173" t="str">
        <f>IF(Various!V13="","",Various!V13)</f>
        <v/>
      </c>
      <c r="D173" t="s">
        <v>226</v>
      </c>
      <c r="E173" t="s">
        <v>227</v>
      </c>
      <c r="G173" s="4">
        <f t="shared" ca="1" si="4"/>
        <v>0.70812858796125511</v>
      </c>
    </row>
    <row r="174" spans="1:8" x14ac:dyDescent="0.25">
      <c r="A174" s="2" t="e">
        <f>Various!#REF!</f>
        <v>#REF!</v>
      </c>
      <c r="B174" t="s">
        <v>225</v>
      </c>
      <c r="C174" t="str">
        <f>IF(Various!W13="","",Various!W13)</f>
        <v/>
      </c>
      <c r="D174" t="s">
        <v>226</v>
      </c>
      <c r="E174" t="s">
        <v>228</v>
      </c>
      <c r="G174" s="4">
        <f t="shared" ca="1" si="4"/>
        <v>0.70812858796125511</v>
      </c>
    </row>
    <row r="175" spans="1:8" x14ac:dyDescent="0.25">
      <c r="A175" s="2" t="e">
        <f>Various!#REF!</f>
        <v>#REF!</v>
      </c>
      <c r="B175" s="1" t="s">
        <v>186</v>
      </c>
      <c r="C175" t="str">
        <f>IF(Various!R9="","",Various!R9)</f>
        <v/>
      </c>
      <c r="E175" s="1" t="s">
        <v>89</v>
      </c>
      <c r="G175" s="4">
        <f t="shared" ca="1" si="4"/>
        <v>0.70812858796125511</v>
      </c>
    </row>
    <row r="176" spans="1:8" x14ac:dyDescent="0.25">
      <c r="A176" s="2" t="e">
        <f>Various!#REF!</f>
        <v>#REF!</v>
      </c>
      <c r="B176" s="1" t="s">
        <v>229</v>
      </c>
      <c r="C176">
        <f>Hourly!C28</f>
        <v>0</v>
      </c>
      <c r="D176" t="s">
        <v>117</v>
      </c>
      <c r="E176" s="1" t="s">
        <v>118</v>
      </c>
      <c r="G176" s="4">
        <f t="shared" ca="1" si="4"/>
        <v>0.70812858796125511</v>
      </c>
    </row>
    <row r="177" spans="1:7" x14ac:dyDescent="0.25">
      <c r="A177" s="2" t="e">
        <f>Various!#REF!</f>
        <v>#REF!</v>
      </c>
      <c r="B177" s="1" t="s">
        <v>230</v>
      </c>
      <c r="C177">
        <f>Hourly!C29</f>
        <v>0</v>
      </c>
      <c r="D177" t="s">
        <v>117</v>
      </c>
      <c r="E177" s="1" t="s">
        <v>118</v>
      </c>
      <c r="G177" s="4">
        <f t="shared" ca="1" si="4"/>
        <v>0.70812858796125511</v>
      </c>
    </row>
    <row r="178" spans="1:7" x14ac:dyDescent="0.25">
      <c r="A178" s="2" t="e">
        <f>Various!#REF!</f>
        <v>#REF!</v>
      </c>
      <c r="B178" t="str">
        <f>IF(Various!R31="","",Various!R31)</f>
        <v/>
      </c>
      <c r="D178" s="1" t="s">
        <v>206</v>
      </c>
      <c r="E178" s="1" t="s">
        <v>159</v>
      </c>
      <c r="F178" s="1" t="s">
        <v>161</v>
      </c>
      <c r="G178" s="4">
        <f t="shared" ca="1" si="4"/>
        <v>0.70812858796125511</v>
      </c>
    </row>
    <row r="179" spans="1:7" x14ac:dyDescent="0.25">
      <c r="A179" s="2" t="e">
        <f>Various!#REF!</f>
        <v>#REF!</v>
      </c>
      <c r="B179" t="e">
        <f>IF(Various!#REF!="","",Various!#REF!)</f>
        <v>#REF!</v>
      </c>
      <c r="D179" s="1" t="s">
        <v>206</v>
      </c>
      <c r="E179" s="1" t="s">
        <v>159</v>
      </c>
      <c r="F179" s="1" t="s">
        <v>150</v>
      </c>
      <c r="G179" s="4">
        <f t="shared" ref="G179:G192" ca="1" si="5">NOW()-ROUNDDOWN(NOW(),0)</f>
        <v>0.70812858796125511</v>
      </c>
    </row>
    <row r="180" spans="1:7" x14ac:dyDescent="0.25">
      <c r="A180" s="2" t="e">
        <f>Various!#REF!</f>
        <v>#REF!</v>
      </c>
      <c r="B180" t="e">
        <f>IF(Various!#REF!="","",Various!#REF!)</f>
        <v>#REF!</v>
      </c>
      <c r="D180" s="1" t="s">
        <v>206</v>
      </c>
      <c r="E180" s="1" t="s">
        <v>159</v>
      </c>
      <c r="F180" s="1" t="s">
        <v>160</v>
      </c>
      <c r="G180" s="4">
        <f t="shared" ca="1" si="5"/>
        <v>0.70812858796125511</v>
      </c>
    </row>
    <row r="181" spans="1:7" x14ac:dyDescent="0.25">
      <c r="A181" s="2" t="e">
        <f>Various!#REF!</f>
        <v>#REF!</v>
      </c>
      <c r="B181" t="str">
        <f>IF(Various!S31="","",Various!S31)</f>
        <v/>
      </c>
      <c r="D181" s="1" t="s">
        <v>206</v>
      </c>
      <c r="E181" s="1" t="s">
        <v>162</v>
      </c>
      <c r="F181" s="1" t="s">
        <v>161</v>
      </c>
      <c r="G181" s="4">
        <f t="shared" ca="1" si="5"/>
        <v>0.70812858796125511</v>
      </c>
    </row>
    <row r="182" spans="1:7" x14ac:dyDescent="0.25">
      <c r="A182" s="2" t="e">
        <f>Various!#REF!</f>
        <v>#REF!</v>
      </c>
      <c r="B182" t="str">
        <f>IF(Various!S32="","",Various!S32)</f>
        <v/>
      </c>
      <c r="D182" s="1" t="s">
        <v>206</v>
      </c>
      <c r="E182" s="1" t="s">
        <v>162</v>
      </c>
      <c r="F182" s="1" t="s">
        <v>150</v>
      </c>
      <c r="G182" s="4">
        <f t="shared" ca="1" si="5"/>
        <v>0.70812858796125511</v>
      </c>
    </row>
    <row r="183" spans="1:7" x14ac:dyDescent="0.25">
      <c r="A183" s="2" t="e">
        <f>Various!#REF!</f>
        <v>#REF!</v>
      </c>
      <c r="B183" t="str">
        <f>IF(Various!S33="","",Various!S33)</f>
        <v/>
      </c>
      <c r="D183" s="1" t="s">
        <v>206</v>
      </c>
      <c r="E183" s="1" t="s">
        <v>162</v>
      </c>
      <c r="F183" s="1" t="s">
        <v>160</v>
      </c>
      <c r="G183" s="4">
        <f t="shared" ca="1" si="5"/>
        <v>0.70812858796125511</v>
      </c>
    </row>
    <row r="184" spans="1:7" x14ac:dyDescent="0.25">
      <c r="A184" s="2" t="e">
        <f>Various!#REF!</f>
        <v>#REF!</v>
      </c>
      <c r="B184" t="str">
        <f>IF(Various!T31="","",Various!T31)</f>
        <v/>
      </c>
      <c r="D184" s="1" t="s">
        <v>206</v>
      </c>
      <c r="E184" s="1" t="s">
        <v>163</v>
      </c>
      <c r="F184" s="1" t="s">
        <v>161</v>
      </c>
      <c r="G184" s="4">
        <f t="shared" ca="1" si="5"/>
        <v>0.70812858796125511</v>
      </c>
    </row>
    <row r="185" spans="1:7" x14ac:dyDescent="0.25">
      <c r="A185" s="2" t="e">
        <f>Various!#REF!</f>
        <v>#REF!</v>
      </c>
      <c r="B185" t="str">
        <f>IF(Various!T32="","",Various!T32)</f>
        <v/>
      </c>
      <c r="D185" s="1" t="s">
        <v>206</v>
      </c>
      <c r="E185" s="1" t="s">
        <v>163</v>
      </c>
      <c r="F185" s="1" t="s">
        <v>150</v>
      </c>
      <c r="G185" s="4">
        <f t="shared" ca="1" si="5"/>
        <v>0.70812858796125511</v>
      </c>
    </row>
    <row r="186" spans="1:7" x14ac:dyDescent="0.25">
      <c r="A186" s="2" t="e">
        <f>Various!#REF!</f>
        <v>#REF!</v>
      </c>
      <c r="B186" t="str">
        <f>IF(Various!T33="","",Various!T33)</f>
        <v/>
      </c>
      <c r="D186" s="1" t="s">
        <v>206</v>
      </c>
      <c r="E186" s="1" t="s">
        <v>163</v>
      </c>
      <c r="F186" s="1" t="s">
        <v>160</v>
      </c>
      <c r="G186" s="4">
        <f t="shared" ca="1" si="5"/>
        <v>0.70812858796125511</v>
      </c>
    </row>
    <row r="187" spans="1:7" x14ac:dyDescent="0.25">
      <c r="A187" s="2" t="e">
        <f>Various!#REF!</f>
        <v>#REF!</v>
      </c>
      <c r="B187" t="str">
        <f>IF(Various!U31="","",Various!U31)</f>
        <v/>
      </c>
      <c r="D187" s="1" t="s">
        <v>206</v>
      </c>
      <c r="E187" s="1" t="s">
        <v>164</v>
      </c>
      <c r="F187" s="1" t="s">
        <v>161</v>
      </c>
      <c r="G187" s="4">
        <f t="shared" ca="1" si="5"/>
        <v>0.70812858796125511</v>
      </c>
    </row>
    <row r="188" spans="1:7" x14ac:dyDescent="0.25">
      <c r="A188" s="2" t="e">
        <f>Various!#REF!</f>
        <v>#REF!</v>
      </c>
      <c r="B188" t="str">
        <f>IF(Various!U32="","",Various!U32)</f>
        <v/>
      </c>
      <c r="D188" s="1" t="s">
        <v>206</v>
      </c>
      <c r="E188" s="1" t="s">
        <v>164</v>
      </c>
      <c r="F188" s="1" t="s">
        <v>150</v>
      </c>
      <c r="G188" s="4">
        <f t="shared" ca="1" si="5"/>
        <v>0.70812858796125511</v>
      </c>
    </row>
    <row r="189" spans="1:7" x14ac:dyDescent="0.25">
      <c r="A189" s="2" t="e">
        <f>Various!#REF!</f>
        <v>#REF!</v>
      </c>
      <c r="B189" t="str">
        <f>IF(Various!U33="","",Various!U33)</f>
        <v/>
      </c>
      <c r="D189" s="1" t="s">
        <v>206</v>
      </c>
      <c r="E189" s="1" t="s">
        <v>164</v>
      </c>
      <c r="F189" s="1" t="s">
        <v>160</v>
      </c>
      <c r="G189" s="4">
        <f t="shared" ca="1" si="5"/>
        <v>0.70812858796125511</v>
      </c>
    </row>
    <row r="190" spans="1:7" x14ac:dyDescent="0.25">
      <c r="A190" s="2" t="e">
        <f>Various!#REF!</f>
        <v>#REF!</v>
      </c>
      <c r="B190" t="str">
        <f>IF(Various!V31="","",Various!V31)</f>
        <v/>
      </c>
      <c r="D190" s="1" t="s">
        <v>206</v>
      </c>
      <c r="E190" s="1" t="s">
        <v>165</v>
      </c>
      <c r="F190" s="1" t="s">
        <v>161</v>
      </c>
      <c r="G190" s="4">
        <f t="shared" ca="1" si="5"/>
        <v>0.70812858796125511</v>
      </c>
    </row>
    <row r="191" spans="1:7" x14ac:dyDescent="0.25">
      <c r="A191" s="2" t="e">
        <f>Various!#REF!</f>
        <v>#REF!</v>
      </c>
      <c r="B191" t="str">
        <f>IF(Various!V32="","",Various!V32)</f>
        <v/>
      </c>
      <c r="D191" s="1" t="s">
        <v>206</v>
      </c>
      <c r="E191" s="1" t="s">
        <v>165</v>
      </c>
      <c r="F191" s="1" t="s">
        <v>150</v>
      </c>
      <c r="G191" s="4">
        <f t="shared" ca="1" si="5"/>
        <v>0.70812858796125511</v>
      </c>
    </row>
    <row r="192" spans="1:7" x14ac:dyDescent="0.25">
      <c r="A192" s="2" t="e">
        <f>Various!#REF!</f>
        <v>#REF!</v>
      </c>
      <c r="B192" t="str">
        <f>IF(Various!V33="","",Various!V33)</f>
        <v/>
      </c>
      <c r="D192" s="1" t="s">
        <v>206</v>
      </c>
      <c r="E192" s="1" t="s">
        <v>165</v>
      </c>
      <c r="F192" s="1" t="s">
        <v>160</v>
      </c>
      <c r="G192" s="4">
        <f t="shared" ca="1" si="5"/>
        <v>0.70812858796125511</v>
      </c>
    </row>
    <row r="193" spans="1:7" x14ac:dyDescent="0.25">
      <c r="A193" s="2" t="e">
        <f>Various!#REF!</f>
        <v>#REF!</v>
      </c>
      <c r="B193" s="1" t="s">
        <v>231</v>
      </c>
      <c r="C193" s="10" t="str">
        <f>IF(Hourly!T3="","",Hourly!T3)</f>
        <v/>
      </c>
      <c r="D193" s="1" t="s">
        <v>232</v>
      </c>
      <c r="E193" s="1" t="s">
        <v>233</v>
      </c>
      <c r="F193" s="1" t="s">
        <v>161</v>
      </c>
      <c r="G193" s="9">
        <v>0</v>
      </c>
    </row>
    <row r="194" spans="1:7" x14ac:dyDescent="0.25">
      <c r="A194" s="2" t="e">
        <f>Various!#REF!</f>
        <v>#REF!</v>
      </c>
      <c r="B194" s="1" t="s">
        <v>231</v>
      </c>
      <c r="C194" s="10" t="str">
        <f>IF(Hourly!T4="","",Hourly!T4)</f>
        <v/>
      </c>
      <c r="D194" s="1" t="s">
        <v>232</v>
      </c>
      <c r="E194" s="1" t="s">
        <v>233</v>
      </c>
      <c r="F194" s="1" t="s">
        <v>161</v>
      </c>
      <c r="G194" s="9">
        <v>4.1666666666666664E-2</v>
      </c>
    </row>
    <row r="195" spans="1:7" x14ac:dyDescent="0.25">
      <c r="A195" s="2" t="e">
        <f>Various!#REF!</f>
        <v>#REF!</v>
      </c>
      <c r="B195" s="1" t="s">
        <v>231</v>
      </c>
      <c r="C195" s="10" t="str">
        <f>IF(Hourly!T5="","",Hourly!T5)</f>
        <v/>
      </c>
      <c r="D195" s="1" t="s">
        <v>232</v>
      </c>
      <c r="E195" s="1" t="s">
        <v>233</v>
      </c>
      <c r="F195" s="1" t="s">
        <v>161</v>
      </c>
      <c r="G195" s="9">
        <v>8.3333333333333301E-2</v>
      </c>
    </row>
    <row r="196" spans="1:7" x14ac:dyDescent="0.25">
      <c r="A196" s="2" t="e">
        <f>Various!#REF!</f>
        <v>#REF!</v>
      </c>
      <c r="B196" s="1" t="s">
        <v>231</v>
      </c>
      <c r="C196" s="10" t="str">
        <f>IF(Hourly!T6="","",Hourly!T6)</f>
        <v/>
      </c>
      <c r="D196" s="1" t="s">
        <v>232</v>
      </c>
      <c r="E196" s="1" t="s">
        <v>233</v>
      </c>
      <c r="F196" s="1" t="s">
        <v>161</v>
      </c>
      <c r="G196" s="9">
        <v>0.125</v>
      </c>
    </row>
    <row r="197" spans="1:7" x14ac:dyDescent="0.25">
      <c r="A197" s="2" t="e">
        <f>Various!#REF!</f>
        <v>#REF!</v>
      </c>
      <c r="B197" s="1" t="s">
        <v>231</v>
      </c>
      <c r="C197" s="10" t="str">
        <f>IF(Hourly!T7="","",Hourly!T7)</f>
        <v/>
      </c>
      <c r="D197" s="1" t="s">
        <v>232</v>
      </c>
      <c r="E197" s="1" t="s">
        <v>233</v>
      </c>
      <c r="F197" s="1" t="s">
        <v>161</v>
      </c>
      <c r="G197" s="9">
        <v>0.16666666666666699</v>
      </c>
    </row>
    <row r="198" spans="1:7" x14ac:dyDescent="0.25">
      <c r="A198" s="2" t="e">
        <f>Various!#REF!</f>
        <v>#REF!</v>
      </c>
      <c r="B198" s="1" t="s">
        <v>231</v>
      </c>
      <c r="C198" s="10" t="str">
        <f>IF(Hourly!T9="","",Hourly!T9)</f>
        <v/>
      </c>
      <c r="D198" s="1" t="s">
        <v>232</v>
      </c>
      <c r="E198" s="1" t="s">
        <v>233</v>
      </c>
      <c r="F198" s="1" t="s">
        <v>161</v>
      </c>
      <c r="G198" s="9">
        <v>0.20833333333333301</v>
      </c>
    </row>
    <row r="199" spans="1:7" x14ac:dyDescent="0.25">
      <c r="A199" s="2" t="e">
        <f>Various!#REF!</f>
        <v>#REF!</v>
      </c>
      <c r="B199" s="1" t="s">
        <v>231</v>
      </c>
      <c r="C199" s="10" t="str">
        <f>IF(Hourly!T10="","",Hourly!T10)</f>
        <v/>
      </c>
      <c r="D199" s="1" t="s">
        <v>232</v>
      </c>
      <c r="E199" s="1" t="s">
        <v>233</v>
      </c>
      <c r="F199" s="1" t="s">
        <v>161</v>
      </c>
      <c r="G199" s="9">
        <v>0.25</v>
      </c>
    </row>
    <row r="200" spans="1:7" x14ac:dyDescent="0.25">
      <c r="A200" s="2" t="e">
        <f>Various!#REF!</f>
        <v>#REF!</v>
      </c>
      <c r="B200" s="1" t="s">
        <v>231</v>
      </c>
      <c r="C200" s="10" t="str">
        <f>IF(Hourly!T10="","",Hourly!T10)</f>
        <v/>
      </c>
      <c r="D200" s="1" t="s">
        <v>232</v>
      </c>
      <c r="E200" s="1" t="s">
        <v>233</v>
      </c>
      <c r="F200" s="1" t="s">
        <v>150</v>
      </c>
      <c r="G200" s="9">
        <v>0.29166666666666702</v>
      </c>
    </row>
    <row r="201" spans="1:7" x14ac:dyDescent="0.25">
      <c r="A201" s="2" t="e">
        <f>Various!#REF!</f>
        <v>#REF!</v>
      </c>
      <c r="B201" s="1" t="s">
        <v>231</v>
      </c>
      <c r="C201" s="10" t="str">
        <f>IF(Hourly!T11="","",Hourly!T11)</f>
        <v/>
      </c>
      <c r="D201" s="1" t="s">
        <v>232</v>
      </c>
      <c r="E201" s="1" t="s">
        <v>233</v>
      </c>
      <c r="F201" s="1" t="s">
        <v>150</v>
      </c>
      <c r="G201" s="9">
        <v>0.33333333333333298</v>
      </c>
    </row>
    <row r="202" spans="1:7" x14ac:dyDescent="0.25">
      <c r="A202" s="2" t="e">
        <f>Various!#REF!</f>
        <v>#REF!</v>
      </c>
      <c r="B202" s="1" t="s">
        <v>231</v>
      </c>
      <c r="C202" s="10" t="str">
        <f>IF(Hourly!T12="","",Hourly!T12)</f>
        <v/>
      </c>
      <c r="D202" s="1" t="s">
        <v>232</v>
      </c>
      <c r="E202" s="1" t="s">
        <v>233</v>
      </c>
      <c r="F202" s="1" t="s">
        <v>150</v>
      </c>
      <c r="G202" s="9">
        <v>0.375</v>
      </c>
    </row>
    <row r="203" spans="1:7" x14ac:dyDescent="0.25">
      <c r="A203" s="2" t="e">
        <f>Various!#REF!</f>
        <v>#REF!</v>
      </c>
      <c r="B203" s="1" t="s">
        <v>231</v>
      </c>
      <c r="C203" s="10" t="str">
        <f>IF(Hourly!T13="","",Hourly!T13)</f>
        <v/>
      </c>
      <c r="D203" s="1" t="s">
        <v>232</v>
      </c>
      <c r="E203" s="1" t="s">
        <v>233</v>
      </c>
      <c r="F203" s="1" t="s">
        <v>150</v>
      </c>
      <c r="G203" s="9">
        <v>0.41666666666666702</v>
      </c>
    </row>
    <row r="204" spans="1:7" x14ac:dyDescent="0.25">
      <c r="A204" s="2" t="e">
        <f>Various!#REF!</f>
        <v>#REF!</v>
      </c>
      <c r="B204" s="1" t="s">
        <v>231</v>
      </c>
      <c r="C204" s="10" t="str">
        <f>IF(Hourly!T14="","",Hourly!T14)</f>
        <v/>
      </c>
      <c r="D204" s="1" t="s">
        <v>232</v>
      </c>
      <c r="E204" s="1" t="s">
        <v>233</v>
      </c>
      <c r="F204" s="1" t="s">
        <v>150</v>
      </c>
      <c r="G204" s="9">
        <v>0.45833333333333298</v>
      </c>
    </row>
    <row r="205" spans="1:7" x14ac:dyDescent="0.25">
      <c r="A205" s="2" t="e">
        <f>Various!#REF!</f>
        <v>#REF!</v>
      </c>
      <c r="B205" s="1" t="s">
        <v>231</v>
      </c>
      <c r="C205" s="10" t="str">
        <f>IF(Hourly!T15="","",Hourly!T15)</f>
        <v/>
      </c>
      <c r="D205" s="1" t="s">
        <v>232</v>
      </c>
      <c r="E205" s="1" t="s">
        <v>233</v>
      </c>
      <c r="F205" s="1" t="s">
        <v>150</v>
      </c>
      <c r="G205" s="9">
        <v>0.5</v>
      </c>
    </row>
    <row r="206" spans="1:7" x14ac:dyDescent="0.25">
      <c r="A206" s="2" t="e">
        <f>Various!#REF!</f>
        <v>#REF!</v>
      </c>
      <c r="B206" s="1" t="s">
        <v>231</v>
      </c>
      <c r="C206" s="10" t="str">
        <f>IF(Hourly!T16="","",Hourly!T16)</f>
        <v/>
      </c>
      <c r="D206" s="1" t="s">
        <v>232</v>
      </c>
      <c r="E206" s="1" t="s">
        <v>233</v>
      </c>
      <c r="F206" s="1" t="s">
        <v>150</v>
      </c>
      <c r="G206" s="9">
        <v>0.54166666666666696</v>
      </c>
    </row>
    <row r="207" spans="1:7" x14ac:dyDescent="0.25">
      <c r="A207" s="2" t="e">
        <f>Various!#REF!</f>
        <v>#REF!</v>
      </c>
      <c r="B207" s="1" t="s">
        <v>231</v>
      </c>
      <c r="C207" s="10" t="str">
        <f>IF(Hourly!T17="","",Hourly!T17)</f>
        <v/>
      </c>
      <c r="D207" s="1" t="s">
        <v>232</v>
      </c>
      <c r="E207" s="1" t="s">
        <v>233</v>
      </c>
      <c r="F207" s="1" t="s">
        <v>150</v>
      </c>
      <c r="G207" s="9">
        <v>0.58333333333333304</v>
      </c>
    </row>
    <row r="208" spans="1:7" x14ac:dyDescent="0.25">
      <c r="A208" s="2" t="e">
        <f>Various!#REF!</f>
        <v>#REF!</v>
      </c>
      <c r="B208" s="1" t="s">
        <v>231</v>
      </c>
      <c r="C208" s="10" t="str">
        <f>IF(Hourly!T18="","",Hourly!T18)</f>
        <v/>
      </c>
      <c r="D208" s="1" t="s">
        <v>232</v>
      </c>
      <c r="E208" s="1" t="s">
        <v>233</v>
      </c>
      <c r="F208" s="1" t="s">
        <v>160</v>
      </c>
      <c r="G208" s="9">
        <v>0.625</v>
      </c>
    </row>
    <row r="209" spans="1:7" x14ac:dyDescent="0.25">
      <c r="A209" s="2" t="e">
        <f>Various!#REF!</f>
        <v>#REF!</v>
      </c>
      <c r="B209" s="1" t="s">
        <v>231</v>
      </c>
      <c r="C209" s="10" t="str">
        <f>IF(Hourly!T19="","",Hourly!T19)</f>
        <v/>
      </c>
      <c r="D209" s="1" t="s">
        <v>232</v>
      </c>
      <c r="E209" s="1" t="s">
        <v>233</v>
      </c>
      <c r="F209" s="1" t="s">
        <v>160</v>
      </c>
      <c r="G209" s="9">
        <v>0.66666666666666696</v>
      </c>
    </row>
    <row r="210" spans="1:7" x14ac:dyDescent="0.25">
      <c r="A210" s="2" t="e">
        <f>Various!#REF!</f>
        <v>#REF!</v>
      </c>
      <c r="B210" s="1" t="s">
        <v>231</v>
      </c>
      <c r="C210" s="10" t="str">
        <f>IF(Hourly!T20="","",Hourly!T20)</f>
        <v/>
      </c>
      <c r="D210" s="1" t="s">
        <v>232</v>
      </c>
      <c r="E210" s="1" t="s">
        <v>233</v>
      </c>
      <c r="F210" s="1" t="s">
        <v>160</v>
      </c>
      <c r="G210" s="9">
        <v>0.70833333333333304</v>
      </c>
    </row>
    <row r="211" spans="1:7" x14ac:dyDescent="0.25">
      <c r="A211" s="2" t="e">
        <f>Various!#REF!</f>
        <v>#REF!</v>
      </c>
      <c r="B211" s="1" t="s">
        <v>231</v>
      </c>
      <c r="C211" s="10" t="str">
        <f>IF(Hourly!T21="","",Hourly!T21)</f>
        <v/>
      </c>
      <c r="D211" s="1" t="s">
        <v>232</v>
      </c>
      <c r="E211" s="1" t="s">
        <v>233</v>
      </c>
      <c r="F211" s="1" t="s">
        <v>160</v>
      </c>
      <c r="G211" s="9">
        <v>0.75</v>
      </c>
    </row>
    <row r="212" spans="1:7" x14ac:dyDescent="0.25">
      <c r="A212" s="2" t="e">
        <f>Various!#REF!</f>
        <v>#REF!</v>
      </c>
      <c r="B212" s="1" t="s">
        <v>231</v>
      </c>
      <c r="C212" s="10" t="str">
        <f>IF(Hourly!T22="","",Hourly!T22)</f>
        <v/>
      </c>
      <c r="D212" s="1" t="s">
        <v>232</v>
      </c>
      <c r="E212" s="1" t="s">
        <v>233</v>
      </c>
      <c r="F212" s="1" t="s">
        <v>160</v>
      </c>
      <c r="G212" s="9">
        <v>0.79166666666666696</v>
      </c>
    </row>
    <row r="213" spans="1:7" x14ac:dyDescent="0.25">
      <c r="A213" s="2" t="e">
        <f>Various!#REF!</f>
        <v>#REF!</v>
      </c>
      <c r="B213" s="1" t="s">
        <v>231</v>
      </c>
      <c r="C213" s="10" t="str">
        <f>IF(Hourly!T23="","",Hourly!T23)</f>
        <v/>
      </c>
      <c r="D213" s="1" t="s">
        <v>232</v>
      </c>
      <c r="E213" s="1" t="s">
        <v>233</v>
      </c>
      <c r="F213" s="1" t="s">
        <v>160</v>
      </c>
      <c r="G213" s="9">
        <v>0.83333333333333304</v>
      </c>
    </row>
    <row r="214" spans="1:7" x14ac:dyDescent="0.25">
      <c r="A214" s="2" t="e">
        <f>Various!#REF!</f>
        <v>#REF!</v>
      </c>
      <c r="B214" s="1" t="s">
        <v>231</v>
      </c>
      <c r="C214" s="10" t="str">
        <f>IF(Hourly!T24="","",Hourly!T24)</f>
        <v/>
      </c>
      <c r="D214" s="1" t="s">
        <v>232</v>
      </c>
      <c r="E214" s="1" t="s">
        <v>233</v>
      </c>
      <c r="F214" s="1" t="s">
        <v>160</v>
      </c>
      <c r="G214" s="9">
        <v>0.875</v>
      </c>
    </row>
    <row r="215" spans="1:7" x14ac:dyDescent="0.25">
      <c r="A215" s="2" t="e">
        <f>Various!#REF!</f>
        <v>#REF!</v>
      </c>
      <c r="B215" s="1" t="s">
        <v>231</v>
      </c>
      <c r="C215" s="10" t="str">
        <f>IF(Hourly!T25="","",Hourly!T25)</f>
        <v/>
      </c>
      <c r="D215" s="1" t="s">
        <v>232</v>
      </c>
      <c r="E215" s="1" t="s">
        <v>233</v>
      </c>
      <c r="F215" s="1" t="s">
        <v>160</v>
      </c>
      <c r="G215" s="9">
        <v>0.91666666666666696</v>
      </c>
    </row>
    <row r="216" spans="1:7" x14ac:dyDescent="0.25">
      <c r="A216" s="2" t="e">
        <f>Various!#REF!</f>
        <v>#REF!</v>
      </c>
      <c r="B216" s="1" t="s">
        <v>231</v>
      </c>
      <c r="C216" s="10" t="str">
        <f>IF(Hourly!T26="","",Hourly!T26)</f>
        <v/>
      </c>
      <c r="D216" s="1" t="s">
        <v>232</v>
      </c>
      <c r="E216" s="1" t="s">
        <v>233</v>
      </c>
      <c r="F216" s="1" t="s">
        <v>161</v>
      </c>
      <c r="G216" s="9">
        <v>0.95833333333333304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563E-FF48-4E0E-A0A1-2CAC1AE805F8}">
  <dimension ref="B2:C8"/>
  <sheetViews>
    <sheetView workbookViewId="0">
      <selection activeCell="K16" sqref="K16"/>
    </sheetView>
  </sheetViews>
  <sheetFormatPr defaultRowHeight="15" x14ac:dyDescent="0.25"/>
  <cols>
    <col min="2" max="2" width="5.5703125" customWidth="1"/>
    <col min="3" max="3" width="24.7109375" customWidth="1"/>
  </cols>
  <sheetData>
    <row r="2" spans="2:3" x14ac:dyDescent="0.25">
      <c r="B2" s="177" t="s">
        <v>236</v>
      </c>
      <c r="C2" s="117" t="s">
        <v>237</v>
      </c>
    </row>
    <row r="3" spans="2:3" x14ac:dyDescent="0.25">
      <c r="B3" s="157"/>
      <c r="C3" s="178" t="s">
        <v>238</v>
      </c>
    </row>
    <row r="4" spans="2:3" x14ac:dyDescent="0.25">
      <c r="B4" s="202"/>
      <c r="C4" s="117" t="s">
        <v>257</v>
      </c>
    </row>
    <row r="8" spans="2:3" x14ac:dyDescent="0.25">
      <c r="B8" t="s">
        <v>239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b9e7b64478f45f286106d776e654c45 xmlns="c05fc5ab-f009-4eba-a1a3-4764284c40d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Entry</TermName>
          <TermId xmlns="http://schemas.microsoft.com/office/infopath/2007/PartnerControls">b7d15a6a-8ff8-436b-ab64-3119e85de457</TermId>
        </TermInfo>
      </Terms>
    </eb9e7b64478f45f286106d776e654c45>
    <_dlc_DocIdPersistId xmlns="ab69c99e-1a23-4150-aa2f-b9205ac26db4" xsi:nil="true"/>
    <Keywords0 xmlns="c05fc5ab-f009-4eba-a1a3-4764284c40d4">2026</Keywords0>
    <k3c4ac3b39a840feb8a4c45d908ecf04 xmlns="c05fc5ab-f009-4eba-a1a3-4764284c40d4">
      <Terms xmlns="http://schemas.microsoft.com/office/infopath/2007/PartnerControls"/>
    </k3c4ac3b39a840feb8a4c45d908ecf04>
    <f60dca351dd242049c0a66163ebbab52 xmlns="c05fc5ab-f009-4eba-a1a3-4764284c40d4">
      <Terms xmlns="http://schemas.microsoft.com/office/infopath/2007/PartnerControls"/>
    </f60dca351dd242049c0a66163ebbab52>
    <o94b7d99b77b4995b31ae6951246b126 xmlns="c05fc5ab-f009-4eba-a1a3-4764284c40d4">
      <Terms xmlns="http://schemas.microsoft.com/office/infopath/2007/PartnerControls"/>
    </o94b7d99b77b4995b31ae6951246b126>
    <RelatedIPAddress xmlns="c05fc5ab-f009-4eba-a1a3-4764284c40d4" xsi:nil="true"/>
    <ExternalProjectNumber xmlns="c05fc5ab-f009-4eba-a1a3-4764284c40d4" xsi:nil="true"/>
    <Author0 xmlns="c05fc5ab-f009-4eba-a1a3-4764284c40d4">
      <UserInfo>
        <DisplayName>BENNETT, GEORGE</DisplayName>
        <AccountId>12</AccountId>
        <AccountType/>
      </UserInfo>
    </Author0>
    <URL xmlns="c05fc5ab-f009-4eba-a1a3-4764284c40d4" xsi:nil="true"/>
    <Contact xmlns="c05fc5ab-f009-4eba-a1a3-4764284c40d4" xsi:nil="true"/>
    <_dlc_DocId xmlns="ab69c99e-1a23-4150-aa2f-b9205ac26db4">7RE6RVMWDSXF-482334045-2862</_dlc_DocId>
    <lcf76f155ced4ddcb4097134ff3c332f xmlns="c05fc5ab-f009-4eba-a1a3-4764284c40d4">
      <Terms xmlns="http://schemas.microsoft.com/office/infopath/2007/PartnerControls"/>
    </lcf76f155ced4ddcb4097134ff3c332f>
    <SerialNumber xmlns="c05fc5ab-f009-4eba-a1a3-4764284c40d4" xsi:nil="true"/>
    <KeyWords xmlns="c05fc5ab-f009-4eba-a1a3-4764284c40d4">current</KeyWords>
    <_dlc_DocIdUrl xmlns="ab69c99e-1a23-4150-aa2f-b9205ac26db4">
      <Url>https://memphistngov.sharepoint.com/sites/170903-TEMasonTreatmentPlantSouth/_layouts/15/DocIdRedir.aspx?ID=7RE6RVMWDSXF-482334045-2862</Url>
      <Description>7RE6RVMWDSXF-482334045-2862</Description>
    </_dlc_DocIdUrl>
    <TaxCatchAll xmlns="ab69c99e-1a23-4150-aa2f-b9205ac26db4">
      <Value>101</Value>
    </TaxCatchAl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5EC69CBE5B434C86035949458EC885" ma:contentTypeVersion="36" ma:contentTypeDescription="Create a new document." ma:contentTypeScope="" ma:versionID="7a8ec13b25360395bf2436692bd07b65">
  <xsd:schema xmlns:xsd="http://www.w3.org/2001/XMLSchema" xmlns:xs="http://www.w3.org/2001/XMLSchema" xmlns:p="http://schemas.microsoft.com/office/2006/metadata/properties" xmlns:ns2="c05fc5ab-f009-4eba-a1a3-4764284c40d4" xmlns:ns3="ab69c99e-1a23-4150-aa2f-b9205ac26db4" targetNamespace="http://schemas.microsoft.com/office/2006/metadata/properties" ma:root="true" ma:fieldsID="b11b32f066226723d69bd33751d4cff4" ns2:_="" ns3:_="">
    <xsd:import namespace="c05fc5ab-f009-4eba-a1a3-4764284c40d4"/>
    <xsd:import namespace="ab69c99e-1a23-4150-aa2f-b9205ac26db4"/>
    <xsd:element name="properties">
      <xsd:complexType>
        <xsd:sequence>
          <xsd:element name="documentManagement">
            <xsd:complexType>
              <xsd:all>
                <xsd:element ref="ns3:_dlc_DocIdUrl" minOccurs="0"/>
                <xsd:element ref="ns2:KeyWords" minOccurs="0"/>
                <xsd:element ref="ns2:Keywords0" minOccurs="0"/>
                <xsd:element ref="ns2:SerialNumber" minOccurs="0"/>
                <xsd:element ref="ns2:Contac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_dlc_DocId" minOccurs="0"/>
                <xsd:element ref="ns3:_dlc_DocIdPersistId" minOccurs="0"/>
                <xsd:element ref="ns2:eb9e7b64478f45f286106d776e654c45" minOccurs="0"/>
                <xsd:element ref="ns2:o94b7d99b77b4995b31ae6951246b126" minOccurs="0"/>
                <xsd:element ref="ns2:f60dca351dd242049c0a66163ebbab52" minOccurs="0"/>
                <xsd:element ref="ns2:k3c4ac3b39a840feb8a4c45d908ecf04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Author0" minOccurs="0"/>
                <xsd:element ref="ns2:ExternalProjectNumber" minOccurs="0"/>
                <xsd:element ref="ns2:RelatedIPAddress" minOccurs="0"/>
                <xsd:element ref="ns2: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fc5ab-f009-4eba-a1a3-4764284c40d4" elementFormDefault="qualified">
    <xsd:import namespace="http://schemas.microsoft.com/office/2006/documentManagement/types"/>
    <xsd:import namespace="http://schemas.microsoft.com/office/infopath/2007/PartnerControls"/>
    <xsd:element name="KeyWords" ma:index="8" nillable="true" ma:displayName="Key Words" ma:description="Unmanaged chaotic tagging" ma:format="Dropdown" ma:internalName="KeyWords" ma:readOnly="false">
      <xsd:simpleType>
        <xsd:restriction base="dms:Note">
          <xsd:maxLength value="255"/>
        </xsd:restriction>
      </xsd:simpleType>
    </xsd:element>
    <xsd:element name="Keywords0" ma:index="9" nillable="true" ma:displayName="Year Implemented" ma:decimals="0" ma:description="Example: 2024" ma:format="Dropdown" ma:internalName="Keywords0" ma:readOnly="false" ma:percentage="FALSE">
      <xsd:simpleType>
        <xsd:restriction base="dms:Number">
          <xsd:minInclusive value="1969"/>
        </xsd:restriction>
      </xsd:simpleType>
    </xsd:element>
    <xsd:element name="SerialNumber" ma:index="10" nillable="true" ma:displayName="Serial Number" ma:format="Dropdown" ma:internalName="SerialNumber" ma:readOnly="false">
      <xsd:simpleType>
        <xsd:restriction base="dms:Text">
          <xsd:maxLength value="255"/>
        </xsd:restriction>
      </xsd:simpleType>
    </xsd:element>
    <xsd:element name="Contact" ma:index="11" nillable="true" ma:displayName="Contact" ma:format="Dropdown" ma:internalName="Contact" ma:readOnly="false">
      <xsd:simpleType>
        <xsd:restriction base="dms:Text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40f2956-a953-4fda-9c3c-d45b3f6228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eb9e7b64478f45f286106d776e654c45" ma:index="24" nillable="true" ma:taxonomy="true" ma:internalName="eb9e7b64478f45f286106d776e654c45" ma:taxonomyFieldName="Document_x0020_Type" ma:displayName="Doc Type" ma:readOnly="false" ma:default="" ma:fieldId="{eb9e7b64-478f-45f2-8610-6d776e654c45}" ma:taxonomyMulti="true" ma:sspId="640f2956-a953-4fda-9c3c-d45b3f622884" ma:termSetId="3839c1e0-f149-4652-b905-83d8d03ac7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94b7d99b77b4995b31ae6951246b126" ma:index="26" nillable="true" ma:taxonomy="true" ma:internalName="o94b7d99b77b4995b31ae6951246b126" ma:taxonomyFieldName="Vendor" ma:displayName="Vendor" ma:readOnly="false" ma:default="" ma:fieldId="{894b7d99-b77b-4995-b31a-e6951246b126}" ma:taxonomyMulti="true" ma:sspId="640f2956-a953-4fda-9c3c-d45b3f622884" ma:termSetId="19d25c1c-7c64-4007-b3ed-f013c8ad3f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60dca351dd242049c0a66163ebbab52" ma:index="28" nillable="true" ma:taxonomy="true" ma:internalName="f60dca351dd242049c0a66163ebbab52" ma:taxonomyFieldName="Equipment" ma:displayName="Equipment" ma:readOnly="false" ma:default="" ma:fieldId="{f60dca35-1dd2-4204-9c0a-66163ebbab52}" ma:taxonomyMulti="true" ma:sspId="640f2956-a953-4fda-9c3c-d45b3f622884" ma:termSetId="f422b7ec-e2c5-4512-b3f7-e84f268989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3c4ac3b39a840feb8a4c45d908ecf04" ma:index="30" nillable="true" ma:taxonomy="true" ma:internalName="k3c4ac3b39a840feb8a4c45d908ecf04" ma:taxonomyFieldName="Manufacturer" ma:displayName="Manufacturer" ma:readOnly="false" ma:default="" ma:fieldId="{43c4ac3b-39a8-40fe-b8a4-c45d908ecf04}" ma:taxonomyMulti="true" ma:sspId="640f2956-a953-4fda-9c3c-d45b3f622884" ma:termSetId="276705c0-5d33-48ec-9ada-e3e858f1a9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hor0" ma:index="35" nillable="true" ma:displayName="Author" ma:format="Dropdown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ProjectNumber" ma:index="36" nillable="true" ma:displayName="External Project Number" ma:format="Dropdown" ma:internalName="ExternalProjectNumber">
      <xsd:simpleType>
        <xsd:restriction base="dms:Text">
          <xsd:maxLength value="255"/>
        </xsd:restriction>
      </xsd:simpleType>
    </xsd:element>
    <xsd:element name="RelatedIPAddress" ma:index="37" nillable="true" ma:displayName="Related IP Address" ma:description="SECURITY RISK, THIS IS PRIVELEGED INFORMATION" ma:format="Dropdown" ma:internalName="RelatedIPAddress">
      <xsd:simpleType>
        <xsd:restriction base="dms:Text">
          <xsd:maxLength value="255"/>
        </xsd:restriction>
      </xsd:simpleType>
    </xsd:element>
    <xsd:element name="URL" ma:index="38" nillable="true" ma:displayName="URL" ma:description="Single or multiple relevant URL values." ma:format="Dropdown" ma:internalName="URL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9c99e-1a23-4150-aa2f-b9205ac26db4" elementFormDefault="qualified">
    <xsd:import namespace="http://schemas.microsoft.com/office/2006/documentManagement/types"/>
    <xsd:import namespace="http://schemas.microsoft.com/office/infopath/2007/PartnerControls"/>
    <xsd:element name="_dlc_DocIdUrl" ma:index="3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axCatchAll" ma:index="13" nillable="true" ma:displayName="Taxonomy Catch All Column" ma:hidden="true" ma:list="{69158964-01f1-48fa-b1f4-870dcdfc0d12}" ma:internalName="TaxCatchAll" ma:readOnly="false" ma:showField="CatchAllData" ma:web="ab69c99e-1a23-4150-aa2f-b9205ac26d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0" nillable="true" ma:displayName="Document ID Value" ma:description="The value of the document ID assigned to this item." ma:hidden="true" ma:indexed="true" ma:internalName="_dlc_DocId" ma:readOnly="false">
      <xsd:simpleType>
        <xsd:restriction base="dms:Text"/>
      </xsd:simpleType>
    </xsd:element>
    <xsd:element name="_dlc_DocIdPersistId" ma:index="22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4854E-0460-4F1C-8C0F-FB6CF9126D7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78FF365-E6AA-48CD-9953-89FB41A81274}">
  <ds:schemaRefs>
    <ds:schemaRef ds:uri="http://schemas.microsoft.com/office/2006/metadata/properties"/>
    <ds:schemaRef ds:uri="http://schemas.microsoft.com/office/infopath/2007/PartnerControls"/>
    <ds:schemaRef ds:uri="c05fc5ab-f009-4eba-a1a3-4764284c40d4"/>
    <ds:schemaRef ds:uri="ab69c99e-1a23-4150-aa2f-b9205ac26db4"/>
  </ds:schemaRefs>
</ds:datastoreItem>
</file>

<file path=customXml/itemProps3.xml><?xml version="1.0" encoding="utf-8"?>
<ds:datastoreItem xmlns:ds="http://schemas.openxmlformats.org/officeDocument/2006/customXml" ds:itemID="{FEF79AF6-431D-42B9-84BD-4FE9E9A3DF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ECA7FA3-DACC-4B06-AB69-0B012C94D7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fc5ab-f009-4eba-a1a3-4764284c40d4"/>
    <ds:schemaRef ds:uri="ab69c99e-1a23-4150-aa2f-b9205ac26d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19</vt:i4>
      </vt:variant>
    </vt:vector>
  </HeadingPairs>
  <TitlesOfParts>
    <vt:vector size="30" baseType="lpstr">
      <vt:lpstr>Hourly</vt:lpstr>
      <vt:lpstr>Clarifier</vt:lpstr>
      <vt:lpstr>Outfall</vt:lpstr>
      <vt:lpstr>PAA and pH</vt:lpstr>
      <vt:lpstr>Lagoon</vt:lpstr>
      <vt:lpstr>Various</vt:lpstr>
      <vt:lpstr>Basin DO</vt:lpstr>
      <vt:lpstr>Print</vt:lpstr>
      <vt:lpstr>Hourly Data</vt:lpstr>
      <vt:lpstr>Data</vt:lpstr>
      <vt:lpstr>How</vt:lpstr>
      <vt:lpstr>abf_tower_temperature</vt:lpstr>
      <vt:lpstr>aeration_basin_do_north_avg_handheld</vt:lpstr>
      <vt:lpstr>aeration_basin_do_north_avg_probes</vt:lpstr>
      <vt:lpstr>aeration_basin_do_south_avg_handheld</vt:lpstr>
      <vt:lpstr>aeration_basin_do_south_avg_probes</vt:lpstr>
      <vt:lpstr>aeration_basin_tempature</vt:lpstr>
      <vt:lpstr>basin_flow_total</vt:lpstr>
      <vt:lpstr>basin_total_flow</vt:lpstr>
      <vt:lpstr>clarifier_flow_total</vt:lpstr>
      <vt:lpstr>clarifier_underflow_total</vt:lpstr>
      <vt:lpstr>date</vt:lpstr>
      <vt:lpstr>inf_flow_avg</vt:lpstr>
      <vt:lpstr>inf_flow_max</vt:lpstr>
      <vt:lpstr>lagoon_sludge_temp_avg</vt:lpstr>
      <vt:lpstr>max_pH</vt:lpstr>
      <vt:lpstr>paa_daily_avg</vt:lpstr>
      <vt:lpstr>paa_post_avg</vt:lpstr>
      <vt:lpstr>ph_daily_avg</vt:lpstr>
      <vt:lpstr>wasting_average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controlroom</dc:creator>
  <cp:keywords/>
  <dc:description/>
  <cp:lastModifiedBy>Jenkins, Samuel</cp:lastModifiedBy>
  <cp:revision/>
  <dcterms:created xsi:type="dcterms:W3CDTF">2020-06-29T15:56:21Z</dcterms:created>
  <dcterms:modified xsi:type="dcterms:W3CDTF">2026-07-01T22:01:04Z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4376f5-a622-4e53-a591-0432f32c2e47_Enabled">
    <vt:lpwstr>true</vt:lpwstr>
  </property>
  <property fmtid="{D5CDD505-2E9C-101B-9397-08002B2CF9AE}" pid="3" name="MSIP_Label_b34376f5-a622-4e53-a591-0432f32c2e47_SetDate">
    <vt:lpwstr>2021-05-11T13:09:52Z</vt:lpwstr>
  </property>
  <property fmtid="{D5CDD505-2E9C-101B-9397-08002B2CF9AE}" pid="4" name="MSIP_Label_b34376f5-a622-4e53-a591-0432f32c2e47_Method">
    <vt:lpwstr>Standard</vt:lpwstr>
  </property>
  <property fmtid="{D5CDD505-2E9C-101B-9397-08002B2CF9AE}" pid="5" name="MSIP_Label_b34376f5-a622-4e53-a591-0432f32c2e47_Name">
    <vt:lpwstr>b34376f5-a622-4e53-a591-0432f32c2e47</vt:lpwstr>
  </property>
  <property fmtid="{D5CDD505-2E9C-101B-9397-08002B2CF9AE}" pid="6" name="MSIP_Label_b34376f5-a622-4e53-a591-0432f32c2e47_SiteId">
    <vt:lpwstr>41647561-6537-4423-96a9-859e89f8919f</vt:lpwstr>
  </property>
  <property fmtid="{D5CDD505-2E9C-101B-9397-08002B2CF9AE}" pid="7" name="MSIP_Label_b34376f5-a622-4e53-a591-0432f32c2e47_ActionId">
    <vt:lpwstr>4526601f-b1f9-45ac-b130-d886c2746128</vt:lpwstr>
  </property>
  <property fmtid="{D5CDD505-2E9C-101B-9397-08002B2CF9AE}" pid="8" name="MSIP_Label_b34376f5-a622-4e53-a591-0432f32c2e47_ContentBits">
    <vt:lpwstr>0</vt:lpwstr>
  </property>
  <property fmtid="{D5CDD505-2E9C-101B-9397-08002B2CF9AE}" pid="9" name="ContentTypeId">
    <vt:lpwstr>0x010100035EC69CBE5B434C86035949458EC885</vt:lpwstr>
  </property>
  <property fmtid="{D5CDD505-2E9C-101B-9397-08002B2CF9AE}" pid="10" name="_dlc_DocIdItemGuid">
    <vt:lpwstr>eb9afcaa-8d0f-4703-906a-cc0240c84e58</vt:lpwstr>
  </property>
  <property fmtid="{D5CDD505-2E9C-101B-9397-08002B2CF9AE}" pid="11" name="Vendor">
    <vt:lpwstr/>
  </property>
  <property fmtid="{D5CDD505-2E9C-101B-9397-08002B2CF9AE}" pid="12" name="Document_x0020_Type">
    <vt:lpwstr>101;#Data Entry|b7d15a6a-8ff8-436b-ab64-3119e85de457</vt:lpwstr>
  </property>
  <property fmtid="{D5CDD505-2E9C-101B-9397-08002B2CF9AE}" pid="13" name="MediaServiceImageTags">
    <vt:lpwstr/>
  </property>
  <property fmtid="{D5CDD505-2E9C-101B-9397-08002B2CF9AE}" pid="14" name="Manufacturer">
    <vt:lpwstr/>
  </property>
  <property fmtid="{D5CDD505-2E9C-101B-9397-08002B2CF9AE}" pid="15" name="Equipment">
    <vt:lpwstr/>
  </property>
  <property fmtid="{D5CDD505-2E9C-101B-9397-08002B2CF9AE}" pid="16" name="Document Type">
    <vt:lpwstr>101;#Data Entry|b7d15a6a-8ff8-436b-ab64-3119e85de457</vt:lpwstr>
  </property>
</Properties>
</file>